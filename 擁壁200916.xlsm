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updateLinks="always" codeName="ThisWorkbook" defaultThemeVersion="166925"/>
  <mc:AlternateContent xmlns:mc="http://schemas.openxmlformats.org/markup-compatibility/2006">
    <mc:Choice Requires="x15">
      <x15ac:absPath xmlns:x15ac="http://schemas.microsoft.com/office/spreadsheetml/2010/11/ac" url="C:\Users\00025134\Desktop\excel2\Yoheki\"/>
    </mc:Choice>
  </mc:AlternateContent>
  <xr:revisionPtr revIDLastSave="0" documentId="10_ncr:100000_{4106AD22-15B9-4227-9AFA-10916B706050}" xr6:coauthVersionLast="31" xr6:coauthVersionMax="31" xr10:uidLastSave="{00000000-0000-0000-0000-000000000000}"/>
  <bookViews>
    <workbookView xWindow="0" yWindow="0" windowWidth="28800" windowHeight="11910" firstSheet="1" activeTab="1" xr2:uid="{00000000-000D-0000-FFFF-FFFF00000000}"/>
  </bookViews>
  <sheets>
    <sheet name="許応力（１）" sheetId="5" r:id="rId1"/>
    <sheet name="Sheet1 (3)" sheetId="7" r:id="rId2"/>
    <sheet name="地耐力 (2)" sheetId="6" r:id="rId3"/>
  </sheets>
  <functionGroups builtInGroupCount="19"/>
  <externalReferences>
    <externalReference r:id="rId4"/>
    <externalReference r:id="rId5"/>
    <externalReference r:id="rId6"/>
    <externalReference r:id="rId7"/>
    <externalReference r:id="rId8"/>
    <externalReference r:id="rId9"/>
    <externalReference r:id="rId10"/>
    <externalReference r:id="rId11"/>
    <externalReference r:id="rId12"/>
  </externalReferences>
  <definedNames>
    <definedName name="__123Graph_A" hidden="1">'[1]P11-P12'!$F$56:$F$62</definedName>
    <definedName name="__123Graph_D" hidden="1">'[1]P11-P12'!$G$56:$G$62</definedName>
    <definedName name="__123Graph_X" hidden="1">'[1]P11-P12'!$B$56:$B$62</definedName>
    <definedName name="_Key1" hidden="1">[2]基礎梁の設計!$AA$3</definedName>
    <definedName name="_Order1" hidden="1">255</definedName>
    <definedName name="_Sort" hidden="1">[2]基礎梁の設計!$AA$3:$AI$37</definedName>
    <definedName name="_t1">[3]鉄骨!$D$1:$D$65536</definedName>
    <definedName name="_t2">[3]鉄骨!$E$1:$E$65536</definedName>
    <definedName name="\A">[2]基礎梁の設計!$BD$19:$BD$21</definedName>
    <definedName name="\B">[2]基礎梁の設計!$BD$28:$BD$29</definedName>
    <definedName name="\C">[2]基礎梁の設計!$BD$35:$BD$37</definedName>
    <definedName name="\D">[2]基礎梁の設計!$BD$47:$BD$48</definedName>
    <definedName name="\E">[2]基礎梁の設計!$BD$55</definedName>
    <definedName name="\F">[2]基礎梁の設計!$BD$59</definedName>
    <definedName name="\o" localSheetId="1">#REF!</definedName>
    <definedName name="\o">#REF!</definedName>
    <definedName name="\p" localSheetId="1">#REF!</definedName>
    <definedName name="\p">#REF!</definedName>
    <definedName name="\q" localSheetId="1">#REF!</definedName>
    <definedName name="\q">#REF!</definedName>
    <definedName name="\r" localSheetId="1">#REF!</definedName>
    <definedName name="\r">#REF!</definedName>
    <definedName name="\S">[2]基礎梁の設計!$BD$1</definedName>
    <definedName name="\t" localSheetId="1">#REF!</definedName>
    <definedName name="\t">#REF!</definedName>
    <definedName name="\x" localSheetId="1">#REF!</definedName>
    <definedName name="\x">#REF!</definedName>
    <definedName name="B">[3]鉄骨!$C$1:$C$65536</definedName>
    <definedName name="DANMEN">[3]鉄骨!$F$1:$F$65536</definedName>
    <definedName name="H">[3]鉄骨!$B$1:$B$65536</definedName>
    <definedName name="ib">[3]鉄骨!$I$1:$I$65536</definedName>
    <definedName name="Ix">[3]鉄骨!$G$1:$G$65536</definedName>
    <definedName name="iy">[3]鉄骨!$L$1:$L$65536</definedName>
    <definedName name="KAJU">'[1]計P3-4'!$E$89:$M$105</definedName>
    <definedName name="MENU">[2]基礎梁の設計!$BD$11:$BI$12</definedName>
    <definedName name="_xlnm.Print_Area" localSheetId="0">'許応力（１）'!$A$1:$K$46</definedName>
    <definedName name="Print_Area_MI" localSheetId="1">#REF!</definedName>
    <definedName name="Print_Area_MI">#REF!</definedName>
    <definedName name="USER" localSheetId="1">#REF!</definedName>
    <definedName name="USER">#REF!</definedName>
    <definedName name="waku" localSheetId="1">#REF!,#REF!,#REF!,#REF!,#REF!,#REF!,#REF!,#REF!,#REF!,#REF!</definedName>
    <definedName name="waku">#REF!,#REF!,#REF!,#REF!,#REF!,#REF!,#REF!,#REF!,#REF!,#REF!</definedName>
    <definedName name="waku1" localSheetId="1">#REF!,#REF!,#REF!,#REF!,#REF!,#REF!,#REF!,#REF!,#REF!,#REF!</definedName>
    <definedName name="waku1">#REF!,#REF!,#REF!,#REF!,#REF!,#REF!,#REF!,#REF!,#REF!,#REF!</definedName>
    <definedName name="wakugumi" localSheetId="1">#REF!,#REF!,#REF!,#REF!,#REF!,#REF!,#REF!,#REF!,#REF!,#REF!,#REF!,#REF!,#REF!,#REF!,#REF!,#REF!,#REF!,#REF!,#REF!</definedName>
    <definedName name="wakugumi">#REF!,#REF!,#REF!,#REF!,#REF!,#REF!,#REF!,#REF!,#REF!,#REF!,#REF!,#REF!,#REF!,#REF!,#REF!,#REF!,#REF!,#REF!,#REF!</definedName>
    <definedName name="wakuwaku" localSheetId="1">#REF!,#REF!,#REF!,#REF!,#REF!,#REF!,#REF!,#REF!,#REF!,#REF!,#REF!,#REF!,#REF!,#REF!,#REF!,#REF!,#REF!,#REF!,#REF!</definedName>
    <definedName name="wakuwaku">#REF!,#REF!,#REF!,#REF!,#REF!,#REF!,#REF!,#REF!,#REF!,#REF!,#REF!,#REF!,#REF!,#REF!,#REF!,#REF!,#REF!,#REF!,#REF!</definedName>
    <definedName name="wakuwaku2" localSheetId="1">#REF!,#REF!,#REF!,#REF!,#REF!,#REF!,#REF!,#REF!,#REF!,#REF!,#REF!,#REF!,#REF!,#REF!,#REF!,#REF!,#REF!,#REF!,#REF!</definedName>
    <definedName name="wakuwaku2">#REF!,#REF!,#REF!,#REF!,#REF!,#REF!,#REF!,#REF!,#REF!,#REF!,#REF!,#REF!,#REF!,#REF!,#REF!,#REF!,#REF!,#REF!,#REF!</definedName>
    <definedName name="Zx">[3]鉄骨!$H$1:$H$65536</definedName>
    <definedName name="Zy">[3]鉄骨!$N$1:$N$65536</definedName>
    <definedName name="η">[3]鉄骨!$J$1:$J$65536</definedName>
    <definedName name="ω">[3]鉄骨!$K$1:$K$65536</definedName>
    <definedName name="う">[4]基礎梁の設計!$BD$28:$BD$29</definedName>
    <definedName name="ちちち">[5]画面レイアウト!$X$8:$Y$31,[5]画面レイアウト!$Z$8:$AA$31,[5]画面レイアウト!$AB$8:$AC$31,[5]画面レイアウト!$AD$8:$AE$31,[5]画面レイアウト!$AF$8:$AG$31,[5]画面レイアウト!$AH$8:$AI$31,[5]画面レイアウト!$AJ$8:$AK$31,[5]画面レイアウト!$AL$8:$AM$31,[5]画面レイアウト!$AN$8:$AO$31,[5]画面レイアウト!$AP$8:$AQ$31</definedName>
    <definedName name="データ型">[6]LIST!$C$4:$C$16</definedName>
    <definedName name="荷重条件">[7]概算検討!$B$25:$K$38</definedName>
    <definedName name="画面" localSheetId="1">#REF!</definedName>
    <definedName name="画面">#REF!</definedName>
    <definedName name="画面２">[5]画面レイアウト!$F$8:$FI$31</definedName>
    <definedName name="画面分割">[8]画面レイアウト!$D$8:$L$31,[8]画面レイアウト!$M$8:$V$31,[8]画面レイアウト!$W$8:$AF$31,[8]画面レイアウト!$AG$8:$AP$31,[8]画面レイアウト!$AQ$8:$AZ$31,[8]画面レイアウト!$BA$8:$BI$31,[8]画面レイアウト!$BA$8:$BJ$31,[8]画面レイアウト!$BK$8:$BT$31,[8]画面レイアウト!$BU$8:$CD$31,[8]画面レイアウト!$CE$8:$CE$31</definedName>
    <definedName name="解説印刷">'[1]計P5-6'!$O$2:$Z$125</definedName>
    <definedName name="記号">[3]鉄骨!$A$1:$A$65536</definedName>
    <definedName name="全半角">[6]LIST!$E$4:$E$7</definedName>
    <definedName name="鉄筋サイズ">[7]部材リスト!$M$46:$M$52</definedName>
    <definedName name="鉄筋リスト">[7]部材リスト!$B$124:$D$129</definedName>
    <definedName name="鉄骨">[3]鉄骨!$A$1:$AZ$65536</definedName>
    <definedName name="納期2" localSheetId="1">#REF!</definedName>
    <definedName name="納期2">#REF!</definedName>
    <definedName name="発行日2" localSheetId="1">#REF!</definedName>
    <definedName name="発行日2">#REF!</definedName>
    <definedName name="部材リスト">[9]部材!$B$9:$I$35</definedName>
    <definedName name="部材リスト_A">[7]部材リスト!$B$12:$R$120</definedName>
    <definedName name="文字種">[6]LIST!$G$4:$G$14</definedName>
    <definedName name="本編印刷">'[1]計P5-6'!$A$1:$M$93</definedName>
    <definedName name="枠" localSheetId="1">#REF!,#REF!,#REF!,#REF!,#REF!,#REF!,#REF!,#REF!,#REF!,#REF!,#REF!</definedName>
    <definedName name="枠">#REF!,#REF!,#REF!,#REF!,#REF!,#REF!,#REF!,#REF!,#REF!,#REF!,#REF!</definedName>
    <definedName name="枠０" localSheetId="1">#REF!,#REF!,#REF!,#REF!,#REF!,#REF!,#REF!,#REF!,#REF!,#REF!</definedName>
    <definedName name="枠０">#REF!,#REF!,#REF!,#REF!,#REF!,#REF!,#REF!,#REF!,#REF!,#REF!</definedName>
    <definedName name="枠１" localSheetId="1">#REF!,#REF!,#REF!,#REF!,#REF!,#REF!,#REF!,#REF!,#REF!,#REF!</definedName>
    <definedName name="枠１">#REF!,#REF!,#REF!,#REF!,#REF!,#REF!,#REF!,#REF!,#REF!,#REF!</definedName>
    <definedName name="枠１２">[5]画面レイアウト!$X$8:$Y$31,[5]画面レイアウト!$Z$8:$AA$31,[5]画面レイアウト!$AB$8:$AC$31,[5]画面レイアウト!$AD$8:$AE$31,[5]画面レイアウト!$AF$8:$AG$31,[5]画面レイアウト!$AH$8:$AI$31,[5]画面レイアウト!$AJ$8:$AK$31,[5]画面レイアウト!$AL$8:$AM$31,[5]画面レイアウト!$AN$8:$AO$31,[5]画面レイアウト!$AP$8:$AQ$31</definedName>
    <definedName name="枠２" localSheetId="1">#REF!,#REF!,#REF!,#REF!,#REF!,#REF!,#REF!,#REF!,#REF!,#REF!</definedName>
    <definedName name="枠２">#REF!,#REF!,#REF!,#REF!,#REF!,#REF!,#REF!,#REF!,#REF!,#REF!</definedName>
    <definedName name="枠３" localSheetId="1">#REF!,#REF!,#REF!,#REF!,#REF!,#REF!,#REF!,#REF!,#REF!,#REF!</definedName>
    <definedName name="枠３">#REF!,#REF!,#REF!,#REF!,#REF!,#REF!,#REF!,#REF!,#REF!,#REF!</definedName>
    <definedName name="枠４" localSheetId="1">#REF!,#REF!,#REF!,#REF!,#REF!,#REF!,#REF!,#REF!,#REF!,#REF!,#REF!,#REF!</definedName>
    <definedName name="枠４">#REF!,#REF!,#REF!,#REF!,#REF!,#REF!,#REF!,#REF!,#REF!,#REF!,#REF!,#REF!</definedName>
    <definedName name="枠５" localSheetId="1">#REF!,#REF!,#REF!,#REF!,#REF!,#REF!,#REF!,#REF!,#REF!,#REF!</definedName>
    <definedName name="枠５">#REF!,#REF!,#REF!,#REF!,#REF!,#REF!,#REF!,#REF!,#REF!,#REF!</definedName>
    <definedName name="枠６" localSheetId="1">#REF!,#REF!,#REF!,#REF!,#REF!,#REF!,#REF!,#REF!,#REF!,#REF!</definedName>
    <definedName name="枠６">#REF!,#REF!,#REF!,#REF!,#REF!,#REF!,#REF!,#REF!,#REF!,#REF!</definedName>
    <definedName name="枠７" localSheetId="1">#REF!,#REF!,#REF!,#REF!,#REF!,#REF!,#REF!,#REF!,#REF!,#REF!</definedName>
    <definedName name="枠７">#REF!,#REF!,#REF!,#REF!,#REF!,#REF!,#REF!,#REF!,#REF!,#REF!</definedName>
    <definedName name="枠８" localSheetId="1">#REF!</definedName>
    <definedName name="枠８">#REF!</definedName>
  </definedNames>
  <calcPr calcId="179017"/>
</workbook>
</file>

<file path=xl/calcChain.xml><?xml version="1.0" encoding="utf-8"?>
<calcChain xmlns="http://schemas.openxmlformats.org/spreadsheetml/2006/main">
  <c r="S37" i="7" l="1"/>
  <c r="AC41" i="7" s="1"/>
  <c r="AA41" i="7"/>
  <c r="AC39" i="7"/>
  <c r="AC38" i="7"/>
  <c r="AA20" i="7"/>
  <c r="Z20" i="7"/>
  <c r="Y20" i="7"/>
  <c r="S48" i="7"/>
  <c r="U41" i="7"/>
  <c r="U46" i="7" s="1"/>
  <c r="U43" i="7"/>
  <c r="U42" i="7"/>
  <c r="T42" i="7"/>
  <c r="T41" i="7"/>
  <c r="T44" i="7" s="1"/>
  <c r="S42" i="7"/>
  <c r="S47" i="7"/>
  <c r="T45" i="7"/>
  <c r="T32" i="7"/>
  <c r="U33" i="7"/>
  <c r="U36" i="7"/>
  <c r="Q37" i="7" s="1"/>
  <c r="S33" i="7"/>
  <c r="E6" i="7"/>
  <c r="E11" i="7"/>
  <c r="AD15" i="7" l="1"/>
  <c r="S50" i="7"/>
  <c r="Q10" i="7"/>
  <c r="AM15" i="7"/>
  <c r="P16" i="7"/>
  <c r="AW22" i="7"/>
  <c r="AM18" i="7"/>
  <c r="AM37" i="7"/>
  <c r="F26" i="7" l="1"/>
  <c r="F27" i="7"/>
  <c r="G39" i="6" l="1"/>
  <c r="P45" i="7" l="1"/>
  <c r="P44" i="7"/>
  <c r="S43" i="7"/>
  <c r="S41" i="7"/>
  <c r="P35" i="7"/>
  <c r="AK34" i="7"/>
  <c r="AL34" i="7" s="1"/>
  <c r="AM34" i="7" s="1"/>
  <c r="AJ34" i="7"/>
  <c r="AI34" i="7"/>
  <c r="P34" i="7"/>
  <c r="S32" i="7"/>
  <c r="P32" i="7"/>
  <c r="P31" i="7"/>
  <c r="J27" i="7"/>
  <c r="K27" i="7" s="1"/>
  <c r="R20" i="7"/>
  <c r="P20" i="7"/>
  <c r="AU19" i="7"/>
  <c r="AV19" i="7" s="1"/>
  <c r="AW19" i="7" s="1"/>
  <c r="O19" i="7"/>
  <c r="Q19" i="7" s="1"/>
  <c r="Q20" i="7" s="1"/>
  <c r="AK15" i="7"/>
  <c r="AL15" i="7" s="1"/>
  <c r="AJ15" i="7"/>
  <c r="AT19" i="7" s="1"/>
  <c r="AI15" i="7"/>
  <c r="AS19" i="7" s="1"/>
  <c r="P10" i="7"/>
  <c r="Q6" i="7" s="1"/>
  <c r="AW8" i="7"/>
  <c r="U45" i="7" l="1"/>
  <c r="O20" i="7"/>
  <c r="AC23" i="7"/>
  <c r="P43" i="7"/>
  <c r="U44" i="7"/>
  <c r="U32" i="7"/>
  <c r="P42" i="7" s="1"/>
  <c r="U35" i="7"/>
  <c r="U34" i="7"/>
  <c r="AB15" i="7" l="1"/>
  <c r="AC27" i="7" l="1"/>
  <c r="AB31" i="7" s="1"/>
  <c r="D37" i="6"/>
  <c r="G37" i="6" s="1"/>
  <c r="G42" i="6" s="1"/>
  <c r="E44" i="6"/>
  <c r="O4" i="6"/>
  <c r="P5" i="6"/>
  <c r="D42" i="6"/>
  <c r="D46" i="6" s="1"/>
  <c r="E42" i="6"/>
  <c r="G44" i="6"/>
  <c r="AA38" i="7" l="1"/>
  <c r="AA39" i="7"/>
  <c r="AB36" i="7"/>
  <c r="AC31" i="7"/>
  <c r="AL22" i="7"/>
  <c r="AM22" i="7" s="1"/>
  <c r="AL19" i="7"/>
  <c r="AM19" i="7" s="1"/>
  <c r="F37" i="6"/>
  <c r="D44" i="6"/>
  <c r="AA45" i="7" l="1"/>
  <c r="AA44" i="7"/>
  <c r="AL41" i="7"/>
  <c r="AM41" i="7" s="1"/>
  <c r="AL38" i="7"/>
  <c r="AM38" i="7" s="1"/>
  <c r="L24" i="6"/>
  <c r="L17" i="6"/>
  <c r="L19" i="6"/>
  <c r="L20" i="6"/>
  <c r="L21" i="6"/>
  <c r="L26" i="6"/>
  <c r="L22" i="6"/>
  <c r="L23" i="6"/>
  <c r="L25" i="6"/>
  <c r="I42" i="6"/>
  <c r="L18" i="6"/>
  <c r="AT8" i="7" l="1"/>
  <c r="AB44" i="7"/>
  <c r="AU8" i="7"/>
  <c r="AB45" i="7"/>
  <c r="I44" i="6"/>
  <c r="I46" i="6"/>
  <c r="AW13" i="7" l="1"/>
  <c r="AW10" i="7"/>
  <c r="AV8" i="7"/>
  <c r="AU10" i="7"/>
  <c r="AU13" i="7"/>
  <c r="I47" i="6"/>
  <c r="I48" i="6" s="1"/>
  <c r="I49" i="6" s="1"/>
  <c r="AU11" i="7" l="1"/>
  <c r="AU14" i="7"/>
  <c r="AW14" i="7"/>
  <c r="AW15" i="7" s="1"/>
  <c r="AW11" i="7"/>
  <c r="AW12" i="7" s="1"/>
  <c r="AU21" i="7" s="1"/>
  <c r="AU25" i="7" l="1"/>
  <c r="AX25" i="7"/>
  <c r="AV23" i="7"/>
  <c r="AW23" i="7" s="1"/>
  <c r="AV26" i="7"/>
  <c r="AW26" i="7" s="1"/>
  <c r="S31" i="7"/>
  <c r="AK8" i="7"/>
  <c r="O10" i="7"/>
  <c r="R25" i="7" s="1"/>
  <c r="AK27" i="7" s="1"/>
  <c r="T31" i="7"/>
  <c r="U31" i="7" s="1"/>
  <c r="Q7" i="7"/>
  <c r="S22" i="7" s="1"/>
  <c r="S24" i="7" l="1"/>
  <c r="Q47" i="7" s="1"/>
  <c r="S23" i="7"/>
  <c r="P41" i="7"/>
  <c r="Q48" i="7" l="1"/>
  <c r="AB35" i="7"/>
  <c r="AD4" i="7"/>
  <c r="AJ8" i="7"/>
  <c r="AB4" i="7"/>
  <c r="Z31" i="7"/>
  <c r="AD6" i="7" l="1"/>
  <c r="AB9" i="7" s="1"/>
  <c r="AB6" i="7"/>
  <c r="AM11" i="7"/>
  <c r="AK21" i="7" s="1"/>
  <c r="AM10" i="7"/>
  <c r="AK17" i="7" s="1"/>
  <c r="AK10" i="7"/>
  <c r="AJ27" i="7"/>
  <c r="AK11" i="7"/>
  <c r="AC9" i="7"/>
  <c r="Z9" i="7"/>
  <c r="AM29" i="7" l="1"/>
  <c r="AK36" i="7" s="1"/>
  <c r="AM30" i="7"/>
  <c r="AK40" i="7" s="1"/>
  <c r="AK29" i="7"/>
  <c r="AK30" i="7"/>
</calcChain>
</file>

<file path=xl/sharedStrings.xml><?xml version="1.0" encoding="utf-8"?>
<sst xmlns="http://schemas.openxmlformats.org/spreadsheetml/2006/main" count="510" uniqueCount="337">
  <si>
    <t>§１一般事項</t>
    <rPh sb="2" eb="3">
      <t>イツ</t>
    </rPh>
    <rPh sb="3" eb="4">
      <t>ハン</t>
    </rPh>
    <rPh sb="4" eb="6">
      <t>ジコウ</t>
    </rPh>
    <phoneticPr fontId="2"/>
  </si>
  <si>
    <t>地耐力</t>
    <rPh sb="0" eb="3">
      <t>チタイリョク</t>
    </rPh>
    <phoneticPr fontId="2"/>
  </si>
  <si>
    <t>lｑａ＝</t>
    <phoneticPr fontId="2"/>
  </si>
  <si>
    <t>kN/m2</t>
    <phoneticPr fontId="2"/>
  </si>
  <si>
    <t>γ＝</t>
    <phoneticPr fontId="2"/>
  </si>
  <si>
    <t>kN/m3</t>
    <phoneticPr fontId="2"/>
  </si>
  <si>
    <t>φ＝</t>
    <phoneticPr fontId="2"/>
  </si>
  <si>
    <t>μ＝</t>
    <phoneticPr fontId="2"/>
  </si>
  <si>
    <t>表面載荷</t>
    <rPh sb="0" eb="2">
      <t>ヒョウメン</t>
    </rPh>
    <rPh sb="2" eb="3">
      <t>サイ</t>
    </rPh>
    <rPh sb="3" eb="4">
      <t>ニ</t>
    </rPh>
    <phoneticPr fontId="2"/>
  </si>
  <si>
    <t>ｑ＝</t>
    <phoneticPr fontId="2"/>
  </si>
  <si>
    <t>上部荷重</t>
    <rPh sb="0" eb="2">
      <t>ジョウブ</t>
    </rPh>
    <rPh sb="2" eb="4">
      <t>カジュウ</t>
    </rPh>
    <phoneticPr fontId="2"/>
  </si>
  <si>
    <t>P1=</t>
    <phoneticPr fontId="2"/>
  </si>
  <si>
    <t>kN/m</t>
    <phoneticPr fontId="2"/>
  </si>
  <si>
    <t>P2=</t>
    <phoneticPr fontId="2"/>
  </si>
  <si>
    <t>γｃ＝</t>
    <phoneticPr fontId="2"/>
  </si>
  <si>
    <t>1.設計条件</t>
    <rPh sb="2" eb="4">
      <t>セッケイ</t>
    </rPh>
    <rPh sb="4" eb="6">
      <t>ジョウケン</t>
    </rPh>
    <phoneticPr fontId="1"/>
  </si>
  <si>
    <t>（１）設計条件</t>
    <rPh sb="3" eb="5">
      <t>セッケイ</t>
    </rPh>
    <rPh sb="5" eb="7">
      <t>ジョウケン</t>
    </rPh>
    <phoneticPr fontId="1"/>
  </si>
  <si>
    <t>壁高</t>
    <rPh sb="0" eb="1">
      <t>カベ</t>
    </rPh>
    <rPh sb="1" eb="2">
      <t>タカ</t>
    </rPh>
    <phoneticPr fontId="1"/>
  </si>
  <si>
    <t>ｍ</t>
    <phoneticPr fontId="1"/>
  </si>
  <si>
    <t>Ｈ＝</t>
    <phoneticPr fontId="2"/>
  </si>
  <si>
    <t>底版厚</t>
    <rPh sb="0" eb="2">
      <t>テイバン</t>
    </rPh>
    <rPh sb="2" eb="3">
      <t>アツ</t>
    </rPh>
    <phoneticPr fontId="1"/>
  </si>
  <si>
    <t>ｔ１＝</t>
    <phoneticPr fontId="1"/>
  </si>
  <si>
    <t>ｔ２＝</t>
    <phoneticPr fontId="1"/>
  </si>
  <si>
    <t>壁厚天端</t>
    <rPh sb="0" eb="1">
      <t>カベ</t>
    </rPh>
    <rPh sb="1" eb="2">
      <t>アツ</t>
    </rPh>
    <rPh sb="2" eb="4">
      <t>テンバ</t>
    </rPh>
    <phoneticPr fontId="1"/>
  </si>
  <si>
    <t>壁厚下端</t>
    <rPh sb="0" eb="1">
      <t>カベ</t>
    </rPh>
    <rPh sb="1" eb="2">
      <t>アツ</t>
    </rPh>
    <rPh sb="2" eb="4">
      <t>シタバ</t>
    </rPh>
    <phoneticPr fontId="1"/>
  </si>
  <si>
    <t>ｔ３＝</t>
  </si>
  <si>
    <t>Df=</t>
    <phoneticPr fontId="1"/>
  </si>
  <si>
    <t>底版幅</t>
    <rPh sb="0" eb="2">
      <t>テイバン</t>
    </rPh>
    <rPh sb="2" eb="3">
      <t>ハバ</t>
    </rPh>
    <phoneticPr fontId="1"/>
  </si>
  <si>
    <t>Ｂ＝</t>
    <phoneticPr fontId="2"/>
  </si>
  <si>
    <t>GLﾖﾘ壁天端</t>
    <rPh sb="4" eb="5">
      <t>カベ</t>
    </rPh>
    <rPh sb="5" eb="7">
      <t>テンバ</t>
    </rPh>
    <phoneticPr fontId="1"/>
  </si>
  <si>
    <t>H-Df=</t>
    <phoneticPr fontId="1"/>
  </si>
  <si>
    <t>P2</t>
    <phoneticPr fontId="1"/>
  </si>
  <si>
    <t>P1</t>
    <phoneticPr fontId="1"/>
  </si>
  <si>
    <t>（２）単位重量及び土質諸元</t>
    <rPh sb="3" eb="5">
      <t>タンイ</t>
    </rPh>
    <rPh sb="5" eb="7">
      <t>ジュウリョウ</t>
    </rPh>
    <rPh sb="7" eb="8">
      <t>オヨ</t>
    </rPh>
    <rPh sb="9" eb="11">
      <t>ドシツ</t>
    </rPh>
    <rPh sb="11" eb="13">
      <t>ショゲン</t>
    </rPh>
    <phoneticPr fontId="1"/>
  </si>
  <si>
    <t>コンクリートの単位重量</t>
    <rPh sb="7" eb="9">
      <t>タンイ</t>
    </rPh>
    <rPh sb="9" eb="11">
      <t>ジュウリョウ</t>
    </rPh>
    <phoneticPr fontId="1"/>
  </si>
  <si>
    <t>背面土の単位重量</t>
    <rPh sb="0" eb="2">
      <t>ハイメン</t>
    </rPh>
    <rPh sb="2" eb="3">
      <t>ツチ</t>
    </rPh>
    <rPh sb="4" eb="6">
      <t>タンイ</t>
    </rPh>
    <rPh sb="6" eb="8">
      <t>ジュウリョウ</t>
    </rPh>
    <phoneticPr fontId="1"/>
  </si>
  <si>
    <t>背面土の内部摩擦角</t>
    <rPh sb="0" eb="2">
      <t>ハイメン</t>
    </rPh>
    <rPh sb="2" eb="3">
      <t>ツチ</t>
    </rPh>
    <rPh sb="4" eb="6">
      <t>ナイブ</t>
    </rPh>
    <rPh sb="6" eb="8">
      <t>マサツ</t>
    </rPh>
    <rPh sb="8" eb="9">
      <t>カク</t>
    </rPh>
    <phoneticPr fontId="1"/>
  </si>
  <si>
    <t>活動摩擦係数</t>
    <rPh sb="0" eb="2">
      <t>カツドウ</t>
    </rPh>
    <rPh sb="2" eb="4">
      <t>マサツ</t>
    </rPh>
    <rPh sb="4" eb="6">
      <t>ケイスウ</t>
    </rPh>
    <phoneticPr fontId="1"/>
  </si>
  <si>
    <t>(tanφb)</t>
    <phoneticPr fontId="2"/>
  </si>
  <si>
    <t>(3)使用材料強度等</t>
    <rPh sb="3" eb="5">
      <t>シヨウ</t>
    </rPh>
    <rPh sb="5" eb="7">
      <t>ザイリョウ</t>
    </rPh>
    <rPh sb="7" eb="9">
      <t>キョウド</t>
    </rPh>
    <rPh sb="9" eb="10">
      <t>トウ</t>
    </rPh>
    <phoneticPr fontId="1"/>
  </si>
  <si>
    <t>a=</t>
    <phoneticPr fontId="2"/>
  </si>
  <si>
    <t>§２擁壁の安定設計</t>
    <rPh sb="2" eb="3">
      <t>ヨウ</t>
    </rPh>
    <rPh sb="3" eb="4">
      <t>ヘキ</t>
    </rPh>
    <rPh sb="5" eb="7">
      <t>アンテイ</t>
    </rPh>
    <rPh sb="7" eb="9">
      <t>セッケイ</t>
    </rPh>
    <phoneticPr fontId="2"/>
  </si>
  <si>
    <t>土圧と転倒モ－メント</t>
    <rPh sb="0" eb="2">
      <t>ドアツ</t>
    </rPh>
    <rPh sb="3" eb="5">
      <t>テントウ</t>
    </rPh>
    <phoneticPr fontId="2"/>
  </si>
  <si>
    <t>ｈ：換算高さ　(q/h)</t>
    <rPh sb="2" eb="4">
      <t>カンザン</t>
    </rPh>
    <rPh sb="4" eb="5">
      <t>タカ</t>
    </rPh>
    <phoneticPr fontId="2"/>
  </si>
  <si>
    <t>h=q/γ=</t>
    <phoneticPr fontId="2"/>
  </si>
  <si>
    <t>H+h=</t>
    <phoneticPr fontId="2"/>
  </si>
  <si>
    <t>H：</t>
    <phoneticPr fontId="2"/>
  </si>
  <si>
    <t>擁壁の高さ(m)</t>
    <rPh sb="0" eb="2">
      <t>ヨウヘキ</t>
    </rPh>
    <rPh sb="3" eb="4">
      <t>タカ</t>
    </rPh>
    <phoneticPr fontId="2"/>
  </si>
  <si>
    <t>H</t>
    <phoneticPr fontId="2"/>
  </si>
  <si>
    <t>γ</t>
    <phoneticPr fontId="2"/>
  </si>
  <si>
    <t>q</t>
    <phoneticPr fontId="2"/>
  </si>
  <si>
    <t>γ：</t>
    <phoneticPr fontId="2"/>
  </si>
  <si>
    <t>地表面の積載荷重(kN/m2)</t>
    <rPh sb="0" eb="2">
      <t>チヒョウ</t>
    </rPh>
    <rPh sb="2" eb="3">
      <t>メン</t>
    </rPh>
    <rPh sb="4" eb="6">
      <t>セキサイ</t>
    </rPh>
    <rPh sb="6" eb="8">
      <t>カジュウ</t>
    </rPh>
    <phoneticPr fontId="2"/>
  </si>
  <si>
    <t>ｑ：</t>
    <phoneticPr fontId="2"/>
  </si>
  <si>
    <t>土の単位体積重量(kN/m3)</t>
    <rPh sb="0" eb="1">
      <t>ツチ</t>
    </rPh>
    <rPh sb="2" eb="4">
      <t>タンイ</t>
    </rPh>
    <rPh sb="4" eb="6">
      <t>タイセキ</t>
    </rPh>
    <rPh sb="6" eb="8">
      <t>ジュウリョウ</t>
    </rPh>
    <phoneticPr fontId="2"/>
  </si>
  <si>
    <t>Ks:主動土圧係数</t>
    <rPh sb="3" eb="5">
      <t>シュドウ</t>
    </rPh>
    <rPh sb="5" eb="7">
      <t>ドアツ</t>
    </rPh>
    <rPh sb="7" eb="9">
      <t>ケイスウ</t>
    </rPh>
    <phoneticPr fontId="2"/>
  </si>
  <si>
    <t>Φ：</t>
    <phoneticPr fontId="2"/>
  </si>
  <si>
    <t>土の内部摩擦角</t>
    <rPh sb="0" eb="1">
      <t>ツチ</t>
    </rPh>
    <rPh sb="2" eb="4">
      <t>ナイブ</t>
    </rPh>
    <rPh sb="4" eb="6">
      <t>マサツ</t>
    </rPh>
    <rPh sb="6" eb="7">
      <t>カク</t>
    </rPh>
    <phoneticPr fontId="2"/>
  </si>
  <si>
    <t>θ：</t>
    <phoneticPr fontId="2"/>
  </si>
  <si>
    <t>壁体の背面の傾斜角</t>
    <rPh sb="0" eb="1">
      <t>カベ</t>
    </rPh>
    <rPh sb="1" eb="2">
      <t>タイ</t>
    </rPh>
    <rPh sb="3" eb="5">
      <t>ハイメン</t>
    </rPh>
    <rPh sb="6" eb="8">
      <t>ケイシャ</t>
    </rPh>
    <rPh sb="8" eb="9">
      <t>カク</t>
    </rPh>
    <phoneticPr fontId="2"/>
  </si>
  <si>
    <t>φ</t>
    <phoneticPr fontId="2"/>
  </si>
  <si>
    <t>θ</t>
    <phoneticPr fontId="2"/>
  </si>
  <si>
    <t>δ</t>
    <phoneticPr fontId="2"/>
  </si>
  <si>
    <t>β</t>
    <phoneticPr fontId="2"/>
  </si>
  <si>
    <t>δ：</t>
    <phoneticPr fontId="2"/>
  </si>
  <si>
    <t>β：</t>
    <phoneticPr fontId="2"/>
  </si>
  <si>
    <t>地表面の傾斜角</t>
    <rPh sb="0" eb="2">
      <t>チヒョウ</t>
    </rPh>
    <rPh sb="2" eb="3">
      <t>メン</t>
    </rPh>
    <rPh sb="4" eb="6">
      <t>ケイシャ</t>
    </rPh>
    <rPh sb="6" eb="7">
      <t>カク</t>
    </rPh>
    <phoneticPr fontId="2"/>
  </si>
  <si>
    <t>土圧</t>
    <rPh sb="0" eb="2">
      <t>ドアツ</t>
    </rPh>
    <phoneticPr fontId="2"/>
  </si>
  <si>
    <t>Pa=1/2*KA*γ*（Ｈ＋h）^2=</t>
    <phoneticPr fontId="2"/>
  </si>
  <si>
    <t>kN</t>
    <phoneticPr fontId="2"/>
  </si>
  <si>
    <t>作用点</t>
    <rPh sb="0" eb="2">
      <t>サヨウ</t>
    </rPh>
    <rPh sb="2" eb="3">
      <t>テン</t>
    </rPh>
    <phoneticPr fontId="2"/>
  </si>
  <si>
    <t>1.</t>
    <phoneticPr fontId="2"/>
  </si>
  <si>
    <t>土と壁面の傾斜角</t>
    <rPh sb="0" eb="1">
      <t>ツチ</t>
    </rPh>
    <rPh sb="2" eb="4">
      <t>ヘキメン</t>
    </rPh>
    <rPh sb="5" eb="7">
      <t>ケイシャ</t>
    </rPh>
    <rPh sb="7" eb="8">
      <t>カク</t>
    </rPh>
    <phoneticPr fontId="2"/>
  </si>
  <si>
    <t>2.</t>
  </si>
  <si>
    <t>部位</t>
    <rPh sb="0" eb="2">
      <t>ブイ</t>
    </rPh>
    <phoneticPr fontId="1"/>
  </si>
  <si>
    <t>壁</t>
    <rPh sb="0" eb="1">
      <t>カベ</t>
    </rPh>
    <phoneticPr fontId="1"/>
  </si>
  <si>
    <t>底版</t>
    <rPh sb="0" eb="2">
      <t>テイバン</t>
    </rPh>
    <phoneticPr fontId="1"/>
  </si>
  <si>
    <t>前面土の単位重量</t>
    <rPh sb="0" eb="2">
      <t>ゼンメン</t>
    </rPh>
    <rPh sb="2" eb="3">
      <t>ツチ</t>
    </rPh>
    <rPh sb="4" eb="6">
      <t>タンイ</t>
    </rPh>
    <rPh sb="6" eb="8">
      <t>ジュウリョウ</t>
    </rPh>
    <phoneticPr fontId="1"/>
  </si>
  <si>
    <t>前面土の内部摩擦角</t>
    <rPh sb="0" eb="2">
      <t>ゼンメン</t>
    </rPh>
    <rPh sb="2" eb="3">
      <t>ツチ</t>
    </rPh>
    <rPh sb="4" eb="6">
      <t>ナイブ</t>
    </rPh>
    <rPh sb="6" eb="8">
      <t>マサツ</t>
    </rPh>
    <rPh sb="8" eb="9">
      <t>カク</t>
    </rPh>
    <phoneticPr fontId="1"/>
  </si>
  <si>
    <t>単位重量</t>
    <rPh sb="0" eb="2">
      <t>タンイ</t>
    </rPh>
    <rPh sb="2" eb="4">
      <t>ジュウリョウ</t>
    </rPh>
    <phoneticPr fontId="1"/>
  </si>
  <si>
    <t>N値</t>
    <rPh sb="1" eb="2">
      <t>チ</t>
    </rPh>
    <phoneticPr fontId="1"/>
  </si>
  <si>
    <t>A(m2)</t>
    <phoneticPr fontId="1"/>
  </si>
  <si>
    <t>W(kN)</t>
    <phoneticPr fontId="1"/>
  </si>
  <si>
    <t>前面土</t>
    <rPh sb="0" eb="2">
      <t>ゼンメン</t>
    </rPh>
    <rPh sb="2" eb="3">
      <t>ツチ</t>
    </rPh>
    <phoneticPr fontId="1"/>
  </si>
  <si>
    <t>式</t>
    <rPh sb="0" eb="1">
      <t>シキ</t>
    </rPh>
    <phoneticPr fontId="1"/>
  </si>
  <si>
    <t>L(m)</t>
    <phoneticPr fontId="1"/>
  </si>
  <si>
    <t>M=w*L</t>
    <phoneticPr fontId="1"/>
  </si>
  <si>
    <t>G=ΣM/ΣW＝</t>
    <phoneticPr fontId="1"/>
  </si>
  <si>
    <t>重心</t>
    <rPh sb="0" eb="2">
      <t>ジュウシン</t>
    </rPh>
    <phoneticPr fontId="1"/>
  </si>
  <si>
    <t>安定モーメント</t>
    <rPh sb="0" eb="2">
      <t>アンテイ</t>
    </rPh>
    <phoneticPr fontId="1"/>
  </si>
  <si>
    <t>m</t>
    <phoneticPr fontId="1"/>
  </si>
  <si>
    <t>Rh=μ*ΣW=</t>
    <phoneticPr fontId="1"/>
  </si>
  <si>
    <t>kN</t>
    <phoneticPr fontId="1"/>
  </si>
  <si>
    <t>3.</t>
    <phoneticPr fontId="1"/>
  </si>
  <si>
    <t>転倒の検討</t>
    <rPh sb="0" eb="2">
      <t>テントウ</t>
    </rPh>
    <rPh sb="3" eb="5">
      <t>ケントウ</t>
    </rPh>
    <phoneticPr fontId="1"/>
  </si>
  <si>
    <t>Ma/Mt=</t>
    <phoneticPr fontId="1"/>
  </si>
  <si>
    <t>（１）鉛直荷重</t>
    <rPh sb="3" eb="5">
      <t>エンチョク</t>
    </rPh>
    <rPh sb="5" eb="7">
      <t>カジュウ</t>
    </rPh>
    <phoneticPr fontId="1"/>
  </si>
  <si>
    <t>4.</t>
    <phoneticPr fontId="1"/>
  </si>
  <si>
    <t>滑りの検討</t>
    <rPh sb="0" eb="1">
      <t>スベ</t>
    </rPh>
    <rPh sb="3" eb="5">
      <t>ケントウ</t>
    </rPh>
    <phoneticPr fontId="1"/>
  </si>
  <si>
    <t>α：</t>
    <phoneticPr fontId="2"/>
  </si>
  <si>
    <t>α</t>
    <phoneticPr fontId="2"/>
  </si>
  <si>
    <t>Df：</t>
    <phoneticPr fontId="2"/>
  </si>
  <si>
    <t>根入れ深さ（ｍ）</t>
    <rPh sb="0" eb="2">
      <t>ネイ</t>
    </rPh>
    <rPh sb="3" eb="4">
      <t>フカ</t>
    </rPh>
    <phoneticPr fontId="2"/>
  </si>
  <si>
    <t>（Φ*2/3）</t>
    <phoneticPr fontId="5"/>
  </si>
  <si>
    <t>採用</t>
    <rPh sb="0" eb="2">
      <t>サイヨウ</t>
    </rPh>
    <phoneticPr fontId="2"/>
  </si>
  <si>
    <t>備考</t>
    <rPh sb="0" eb="2">
      <t>ビコウ</t>
    </rPh>
    <phoneticPr fontId="2"/>
  </si>
  <si>
    <t>○</t>
  </si>
  <si>
    <t>　</t>
  </si>
  <si>
    <t>SR235</t>
    <phoneticPr fontId="2"/>
  </si>
  <si>
    <t>SD295A</t>
    <phoneticPr fontId="2"/>
  </si>
  <si>
    <t>SD345</t>
    <phoneticPr fontId="2"/>
  </si>
  <si>
    <t>SD390</t>
    <phoneticPr fontId="2"/>
  </si>
  <si>
    <t>溶接金網</t>
    <rPh sb="0" eb="2">
      <t>ヨウセツ</t>
    </rPh>
    <rPh sb="2" eb="4">
      <t>カナアミ</t>
    </rPh>
    <phoneticPr fontId="2"/>
  </si>
  <si>
    <t>SM490</t>
    <phoneticPr fontId="2"/>
  </si>
  <si>
    <t>STKR400</t>
    <phoneticPr fontId="2"/>
  </si>
  <si>
    <t>STK400</t>
    <phoneticPr fontId="2"/>
  </si>
  <si>
    <t>SSC400</t>
    <phoneticPr fontId="2"/>
  </si>
  <si>
    <t>BCR295</t>
    <phoneticPr fontId="2"/>
  </si>
  <si>
    <t>BCP235</t>
    <phoneticPr fontId="2"/>
  </si>
  <si>
    <t>BCP325</t>
    <phoneticPr fontId="2"/>
  </si>
  <si>
    <t>２.　使用材料の許容応力度及び材料強度</t>
    <rPh sb="3" eb="5">
      <t>シヨウ</t>
    </rPh>
    <rPh sb="5" eb="7">
      <t>ザイリョウ</t>
    </rPh>
    <rPh sb="8" eb="10">
      <t>キョヨウ</t>
    </rPh>
    <rPh sb="10" eb="12">
      <t>オウリョク</t>
    </rPh>
    <rPh sb="12" eb="13">
      <t>ド</t>
    </rPh>
    <rPh sb="13" eb="14">
      <t>オヨ</t>
    </rPh>
    <rPh sb="15" eb="17">
      <t>ザイリョウ</t>
    </rPh>
    <rPh sb="17" eb="19">
      <t>キョウド</t>
    </rPh>
    <phoneticPr fontId="10"/>
  </si>
  <si>
    <t>左記内容は、実際の計算で用いた値と照合させておいて下さい。</t>
    <rPh sb="0" eb="2">
      <t>サキ</t>
    </rPh>
    <rPh sb="2" eb="4">
      <t>ナイヨウ</t>
    </rPh>
    <rPh sb="6" eb="8">
      <t>ジッサイ</t>
    </rPh>
    <rPh sb="9" eb="11">
      <t>ケイサン</t>
    </rPh>
    <rPh sb="12" eb="13">
      <t>モチ</t>
    </rPh>
    <rPh sb="15" eb="16">
      <t>アタイ</t>
    </rPh>
    <rPh sb="17" eb="19">
      <t>ショウゴウ</t>
    </rPh>
    <rPh sb="25" eb="26">
      <t>クダ</t>
    </rPh>
    <phoneticPr fontId="2"/>
  </si>
  <si>
    <t>(1)コンクリートの許容応力度</t>
    <rPh sb="10" eb="12">
      <t>キョヨウ</t>
    </rPh>
    <rPh sb="12" eb="14">
      <t>オウリョク</t>
    </rPh>
    <rPh sb="14" eb="15">
      <t>ド</t>
    </rPh>
    <phoneticPr fontId="10"/>
  </si>
  <si>
    <t>種類</t>
    <rPh sb="0" eb="2">
      <t>シュルイ</t>
    </rPh>
    <phoneticPr fontId="2"/>
  </si>
  <si>
    <r>
      <t>長期許容応力度
（単位:Ｎ／ｍｍ</t>
    </r>
    <r>
      <rPr>
        <vertAlign val="superscript"/>
        <sz val="9"/>
        <rFont val="ＭＳ Ｐ明朝"/>
        <family val="1"/>
        <charset val="128"/>
      </rPr>
      <t>2</t>
    </r>
    <r>
      <rPr>
        <sz val="9"/>
        <rFont val="ＭＳ Ｐ明朝"/>
        <family val="1"/>
        <charset val="128"/>
      </rPr>
      <t>）</t>
    </r>
    <phoneticPr fontId="2"/>
  </si>
  <si>
    <r>
      <t>短期許容応力度
　（単位:Ｎ／ｍｍ</t>
    </r>
    <r>
      <rPr>
        <vertAlign val="superscript"/>
        <sz val="9"/>
        <rFont val="ＭＳ Ｐ明朝"/>
        <family val="1"/>
        <charset val="128"/>
      </rPr>
      <t>2</t>
    </r>
    <r>
      <rPr>
        <sz val="9"/>
        <rFont val="ＭＳ Ｐ明朝"/>
        <family val="1"/>
        <charset val="128"/>
      </rPr>
      <t>）</t>
    </r>
    <phoneticPr fontId="2"/>
  </si>
  <si>
    <t>圧縮</t>
    <rPh sb="0" eb="2">
      <t>アッシュク</t>
    </rPh>
    <phoneticPr fontId="2"/>
  </si>
  <si>
    <t>せん断</t>
    <rPh sb="2" eb="3">
      <t>ダン</t>
    </rPh>
    <phoneticPr fontId="2"/>
  </si>
  <si>
    <t>付着</t>
    <rPh sb="0" eb="2">
      <t>フチャク</t>
    </rPh>
    <phoneticPr fontId="2"/>
  </si>
  <si>
    <t>上端筋</t>
    <rPh sb="0" eb="2">
      <t>ジョウタン</t>
    </rPh>
    <rPh sb="2" eb="3">
      <t>キン</t>
    </rPh>
    <phoneticPr fontId="2"/>
  </si>
  <si>
    <t>その他の鉄筋</t>
    <rPh sb="2" eb="3">
      <t>タ</t>
    </rPh>
    <rPh sb="4" eb="6">
      <t>テッキン</t>
    </rPh>
    <phoneticPr fontId="2"/>
  </si>
  <si>
    <t>Fc18</t>
    <phoneticPr fontId="2"/>
  </si>
  <si>
    <t>長期の
2.0倍</t>
    <rPh sb="0" eb="2">
      <t>チョウキ</t>
    </rPh>
    <rPh sb="7" eb="8">
      <t>バイ</t>
    </rPh>
    <phoneticPr fontId="2"/>
  </si>
  <si>
    <t>長期の
1.5倍</t>
    <rPh sb="0" eb="2">
      <t>チョウキ</t>
    </rPh>
    <rPh sb="7" eb="8">
      <t>バイ</t>
    </rPh>
    <phoneticPr fontId="2"/>
  </si>
  <si>
    <t>Fc21</t>
    <phoneticPr fontId="2"/>
  </si>
  <si>
    <t>Fc24</t>
    <phoneticPr fontId="2"/>
  </si>
  <si>
    <t>Fc27</t>
    <phoneticPr fontId="2"/>
  </si>
  <si>
    <t>Fc30</t>
    <phoneticPr fontId="2"/>
  </si>
  <si>
    <t>Fc33</t>
    <phoneticPr fontId="2"/>
  </si>
  <si>
    <t>(2)鉄筋の許容応力度</t>
    <rPh sb="3" eb="5">
      <t>テッキン</t>
    </rPh>
    <rPh sb="6" eb="8">
      <t>キョヨウ</t>
    </rPh>
    <rPh sb="8" eb="10">
      <t>オウリョク</t>
    </rPh>
    <rPh sb="10" eb="11">
      <t>ド</t>
    </rPh>
    <phoneticPr fontId="10"/>
  </si>
  <si>
    <r>
      <t>長期許容応力度
（Ｎ／ｍｍ</t>
    </r>
    <r>
      <rPr>
        <vertAlign val="superscript"/>
        <sz val="9"/>
        <rFont val="ＭＳ Ｐ明朝"/>
        <family val="1"/>
        <charset val="128"/>
      </rPr>
      <t>2</t>
    </r>
    <r>
      <rPr>
        <sz val="9"/>
        <rFont val="ＭＳ Ｐ明朝"/>
        <family val="1"/>
        <charset val="128"/>
      </rPr>
      <t>）</t>
    </r>
    <rPh sb="2" eb="4">
      <t>キョヨウ</t>
    </rPh>
    <phoneticPr fontId="2"/>
  </si>
  <si>
    <r>
      <t>短期許容応力度
（Ｎ／ｍｍ</t>
    </r>
    <r>
      <rPr>
        <vertAlign val="superscript"/>
        <sz val="9"/>
        <rFont val="ＭＳ Ｐ明朝"/>
        <family val="1"/>
        <charset val="128"/>
      </rPr>
      <t>2</t>
    </r>
    <r>
      <rPr>
        <sz val="9"/>
        <rFont val="ＭＳ Ｐ明朝"/>
        <family val="1"/>
        <charset val="128"/>
      </rPr>
      <t>）</t>
    </r>
    <phoneticPr fontId="2"/>
  </si>
  <si>
    <r>
      <t>基準強度
（Ｎ／ｍｍ</t>
    </r>
    <r>
      <rPr>
        <vertAlign val="superscript"/>
        <sz val="9"/>
        <rFont val="ＭＳ Ｐ明朝"/>
        <family val="1"/>
        <charset val="128"/>
      </rPr>
      <t>2</t>
    </r>
    <r>
      <rPr>
        <sz val="9"/>
        <rFont val="ＭＳ Ｐ明朝"/>
        <family val="1"/>
        <charset val="128"/>
      </rPr>
      <t>）</t>
    </r>
    <phoneticPr fontId="2"/>
  </si>
  <si>
    <t>引張り</t>
    <rPh sb="0" eb="2">
      <t>ヒッパ</t>
    </rPh>
    <phoneticPr fontId="2"/>
  </si>
  <si>
    <t>196(195)</t>
    <phoneticPr fontId="2"/>
  </si>
  <si>
    <t>(　)内数値は、D29以上の場合</t>
    <rPh sb="3" eb="4">
      <t>ナイ</t>
    </rPh>
    <rPh sb="4" eb="6">
      <t>スウチ</t>
    </rPh>
    <rPh sb="11" eb="13">
      <t>イジョウ</t>
    </rPh>
    <rPh sb="14" eb="16">
      <t>バアイ</t>
    </rPh>
    <phoneticPr fontId="2"/>
  </si>
  <si>
    <t>215(195)</t>
    <phoneticPr fontId="2"/>
  </si>
  <si>
    <t>-</t>
    <phoneticPr fontId="2"/>
  </si>
  <si>
    <t>・材料強度は、基準強度Ｆに対して1.10Ｆとする。</t>
  </si>
  <si>
    <r>
      <t>・SD295Aをせん断補強筋として用いる場合の材料強度は、295Ｎ／㎜</t>
    </r>
    <r>
      <rPr>
        <vertAlign val="superscript"/>
        <sz val="9"/>
        <color indexed="8"/>
        <rFont val="ＭＳ Ｐ明朝"/>
        <family val="1"/>
        <charset val="128"/>
      </rPr>
      <t>2</t>
    </r>
    <r>
      <rPr>
        <sz val="9"/>
        <color indexed="8"/>
        <rFont val="ＭＳ Ｐ明朝"/>
        <family val="1"/>
        <charset val="128"/>
      </rPr>
      <t>とする。</t>
    </r>
    <phoneticPr fontId="2"/>
  </si>
  <si>
    <t>(3)鋼材の許容応力度</t>
    <rPh sb="3" eb="5">
      <t>コウザイ</t>
    </rPh>
    <rPh sb="6" eb="8">
      <t>キョヨウ</t>
    </rPh>
    <rPh sb="8" eb="10">
      <t>オウリョク</t>
    </rPh>
    <rPh sb="10" eb="11">
      <t>ド</t>
    </rPh>
    <phoneticPr fontId="10"/>
  </si>
  <si>
    <r>
      <t>短期許容応力度
（Ｎ／ｍｍ</t>
    </r>
    <r>
      <rPr>
        <vertAlign val="superscript"/>
        <sz val="9"/>
        <rFont val="ＭＳ Ｐ明朝"/>
        <family val="1"/>
        <charset val="128"/>
      </rPr>
      <t>2</t>
    </r>
    <r>
      <rPr>
        <sz val="9"/>
        <rFont val="ＭＳ Ｐ明朝"/>
        <family val="1"/>
        <charset val="128"/>
      </rPr>
      <t>）</t>
    </r>
    <rPh sb="0" eb="2">
      <t>タンキ</t>
    </rPh>
    <rPh sb="2" eb="4">
      <t>キョヨウ</t>
    </rPh>
    <phoneticPr fontId="2"/>
  </si>
  <si>
    <t>曲げ</t>
    <rPh sb="0" eb="1">
      <t>マ</t>
    </rPh>
    <phoneticPr fontId="2"/>
  </si>
  <si>
    <t>支圧(ボルトの軸部に接する面)</t>
    <rPh sb="0" eb="2">
      <t>シアツ</t>
    </rPh>
    <rPh sb="7" eb="8">
      <t>ジク</t>
    </rPh>
    <rPh sb="8" eb="9">
      <t>ブ</t>
    </rPh>
    <rPh sb="10" eb="11">
      <t>セッ</t>
    </rPh>
    <rPh sb="13" eb="14">
      <t>メン</t>
    </rPh>
    <phoneticPr fontId="2"/>
  </si>
  <si>
    <t>SN400</t>
    <phoneticPr fontId="2"/>
  </si>
  <si>
    <t>156
(143)</t>
    <phoneticPr fontId="2"/>
  </si>
  <si>
    <t>90
(83)</t>
  </si>
  <si>
    <t>294
(270)</t>
    <phoneticPr fontId="2"/>
  </si>
  <si>
    <t>長期の
１．５倍</t>
    <rPh sb="0" eb="2">
      <t>チョウキ</t>
    </rPh>
    <rPh sb="7" eb="8">
      <t>バイ</t>
    </rPh>
    <phoneticPr fontId="2"/>
  </si>
  <si>
    <t>235
(215)</t>
    <phoneticPr fontId="2"/>
  </si>
  <si>
    <t>（　）内数値は、板が
40mmを超える部材の場合</t>
    <rPh sb="3" eb="4">
      <t>ナイ</t>
    </rPh>
    <rPh sb="4" eb="6">
      <t>スウチ</t>
    </rPh>
    <rPh sb="8" eb="9">
      <t>イタ</t>
    </rPh>
    <rPh sb="16" eb="17">
      <t>コ</t>
    </rPh>
    <rPh sb="19" eb="20">
      <t>ブ</t>
    </rPh>
    <rPh sb="20" eb="21">
      <t>ザイ</t>
    </rPh>
    <rPh sb="22" eb="24">
      <t>バアイ</t>
    </rPh>
    <phoneticPr fontId="2"/>
  </si>
  <si>
    <t xml:space="preserve">
SS400
</t>
    <phoneticPr fontId="2"/>
  </si>
  <si>
    <t>SN490</t>
    <phoneticPr fontId="2"/>
  </si>
  <si>
    <t>216
(196)</t>
    <phoneticPr fontId="2"/>
  </si>
  <si>
    <t>125
(114)</t>
  </si>
  <si>
    <t>407
(369)</t>
    <phoneticPr fontId="2"/>
  </si>
  <si>
    <t>325
(295)</t>
    <phoneticPr fontId="2"/>
  </si>
  <si>
    <r>
      <t>長期許容応力度
（単位:Ｎ／ｍｍ</t>
    </r>
    <r>
      <rPr>
        <vertAlign val="superscript"/>
        <sz val="10"/>
        <rFont val="Meiryo UI"/>
        <family val="3"/>
        <charset val="128"/>
      </rPr>
      <t>2</t>
    </r>
    <r>
      <rPr>
        <sz val="10"/>
        <rFont val="Meiryo UI"/>
        <family val="3"/>
        <charset val="128"/>
      </rPr>
      <t>）</t>
    </r>
    <phoneticPr fontId="2"/>
  </si>
  <si>
    <r>
      <t>短期許容応力度
　（単位:Ｎ／ｍｍ</t>
    </r>
    <r>
      <rPr>
        <vertAlign val="superscript"/>
        <sz val="10"/>
        <rFont val="Meiryo UI"/>
        <family val="3"/>
        <charset val="128"/>
      </rPr>
      <t>2</t>
    </r>
    <r>
      <rPr>
        <sz val="10"/>
        <rFont val="Meiryo UI"/>
        <family val="3"/>
        <charset val="128"/>
      </rPr>
      <t>）</t>
    </r>
    <phoneticPr fontId="2"/>
  </si>
  <si>
    <r>
      <t>長期許容応力度
（Ｎ／ｍｍ</t>
    </r>
    <r>
      <rPr>
        <vertAlign val="superscript"/>
        <sz val="10"/>
        <rFont val="Meiryo UI"/>
        <family val="3"/>
        <charset val="128"/>
      </rPr>
      <t>2</t>
    </r>
    <r>
      <rPr>
        <sz val="10"/>
        <rFont val="Meiryo UI"/>
        <family val="3"/>
        <charset val="128"/>
      </rPr>
      <t>）</t>
    </r>
    <rPh sb="2" eb="4">
      <t>キョヨウ</t>
    </rPh>
    <phoneticPr fontId="2"/>
  </si>
  <si>
    <r>
      <t>短期許容応力度
（Ｎ／ｍｍ</t>
    </r>
    <r>
      <rPr>
        <vertAlign val="superscript"/>
        <sz val="10"/>
        <rFont val="Meiryo UI"/>
        <family val="3"/>
        <charset val="128"/>
      </rPr>
      <t>2</t>
    </r>
    <r>
      <rPr>
        <sz val="10"/>
        <rFont val="Meiryo UI"/>
        <family val="3"/>
        <charset val="128"/>
      </rPr>
      <t>）</t>
    </r>
    <phoneticPr fontId="2"/>
  </si>
  <si>
    <r>
      <t>基準強度
（Ｎ／ｍｍ</t>
    </r>
    <r>
      <rPr>
        <vertAlign val="superscript"/>
        <sz val="10"/>
        <rFont val="Meiryo UI"/>
        <family val="3"/>
        <charset val="128"/>
      </rPr>
      <t>2</t>
    </r>
    <r>
      <rPr>
        <sz val="10"/>
        <rFont val="Meiryo UI"/>
        <family val="3"/>
        <charset val="128"/>
      </rPr>
      <t>）</t>
    </r>
    <phoneticPr fontId="2"/>
  </si>
  <si>
    <t>Ka=</t>
    <phoneticPr fontId="2"/>
  </si>
  <si>
    <t>w(kN)</t>
    <phoneticPr fontId="1"/>
  </si>
  <si>
    <t>W＝</t>
    <phoneticPr fontId="1"/>
  </si>
  <si>
    <t>PH=cos（δ）*Pa＝</t>
    <phoneticPr fontId="5"/>
  </si>
  <si>
    <t>PV=sin（δ）*Pa＝</t>
    <phoneticPr fontId="5"/>
  </si>
  <si>
    <t>（２）重心</t>
    <rPh sb="3" eb="5">
      <t>ジュウシン</t>
    </rPh>
    <phoneticPr fontId="1"/>
  </si>
  <si>
    <t>転倒モーメント</t>
    <rPh sb="0" eb="2">
      <t>テントウ</t>
    </rPh>
    <phoneticPr fontId="5"/>
  </si>
  <si>
    <t>Mt=PH*Y=</t>
    <phoneticPr fontId="5"/>
  </si>
  <si>
    <t>Y=1/3*H=</t>
    <phoneticPr fontId="2"/>
  </si>
  <si>
    <t>kN/m</t>
    <phoneticPr fontId="5"/>
  </si>
  <si>
    <t>Ma=W*G=</t>
    <phoneticPr fontId="1"/>
  </si>
  <si>
    <t>Pp:受動土圧</t>
    <rPh sb="3" eb="7">
      <t>ジュドウドアツ</t>
    </rPh>
    <rPh sb="5" eb="7">
      <t>ドアツ</t>
    </rPh>
    <phoneticPr fontId="2"/>
  </si>
  <si>
    <t>Pp=1/2*γ*Df^2*tan2(45+Φ/2）=</t>
    <phoneticPr fontId="5"/>
  </si>
  <si>
    <t>Df</t>
    <phoneticPr fontId="2"/>
  </si>
  <si>
    <t>Φ</t>
    <phoneticPr fontId="2"/>
  </si>
  <si>
    <t>Rh:</t>
    <phoneticPr fontId="5"/>
  </si>
  <si>
    <t>摩擦による滑り抵抗力</t>
    <rPh sb="0" eb="2">
      <t>マサツ</t>
    </rPh>
    <rPh sb="5" eb="6">
      <t>スベ</t>
    </rPh>
    <rPh sb="7" eb="9">
      <t>テイコウ</t>
    </rPh>
    <rPh sb="9" eb="10">
      <t>リョク</t>
    </rPh>
    <phoneticPr fontId="1"/>
  </si>
  <si>
    <t>Hr：</t>
    <phoneticPr fontId="5"/>
  </si>
  <si>
    <t>Hr=Rh+1/2*Pp=</t>
    <phoneticPr fontId="5"/>
  </si>
  <si>
    <t>判定</t>
    <rPh sb="0" eb="2">
      <t>ハンテイ</t>
    </rPh>
    <phoneticPr fontId="5"/>
  </si>
  <si>
    <t>Hr/Pa=</t>
    <phoneticPr fontId="1"/>
  </si>
  <si>
    <t>鉛直荷重，重心</t>
    <rPh sb="0" eb="2">
      <t>エンチョク</t>
    </rPh>
    <rPh sb="2" eb="4">
      <t>カジュウ</t>
    </rPh>
    <rPh sb="5" eb="7">
      <t>ジュウシン</t>
    </rPh>
    <phoneticPr fontId="1"/>
  </si>
  <si>
    <t>ΣW=W+PV=</t>
    <phoneticPr fontId="5"/>
  </si>
  <si>
    <t>kN</t>
    <phoneticPr fontId="5"/>
  </si>
  <si>
    <t>5.</t>
  </si>
  <si>
    <t>支持力の検討</t>
    <rPh sb="0" eb="3">
      <t>シジリョク</t>
    </rPh>
    <rPh sb="4" eb="6">
      <t>ケントウ</t>
    </rPh>
    <phoneticPr fontId="5"/>
  </si>
  <si>
    <t>偏芯距離</t>
    <rPh sb="0" eb="2">
      <t>ヘンシン</t>
    </rPh>
    <rPh sb="2" eb="4">
      <t>キョリ</t>
    </rPh>
    <phoneticPr fontId="5"/>
  </si>
  <si>
    <t>e=B-G/2=</t>
    <phoneticPr fontId="5"/>
  </si>
  <si>
    <t>e/B=</t>
    <phoneticPr fontId="5"/>
  </si>
  <si>
    <t>M1＝</t>
    <phoneticPr fontId="1"/>
  </si>
  <si>
    <t>M2=PV*B=</t>
    <phoneticPr fontId="5"/>
  </si>
  <si>
    <t>ΣM=M1+M2=</t>
    <phoneticPr fontId="5"/>
  </si>
  <si>
    <t>&lt;1/6</t>
    <phoneticPr fontId="5"/>
  </si>
  <si>
    <t>a1=1+6*e/B=</t>
    <phoneticPr fontId="5"/>
  </si>
  <si>
    <t>a2=1-6*e/B=</t>
    <phoneticPr fontId="5"/>
  </si>
  <si>
    <t>σ=ΣW/B＝</t>
    <phoneticPr fontId="5"/>
  </si>
  <si>
    <t>σmax=σ*a1=</t>
    <phoneticPr fontId="5"/>
  </si>
  <si>
    <t>σmin=σ*a2=</t>
    <phoneticPr fontId="5"/>
  </si>
  <si>
    <t>(1)底面摩擦の滑り抵抗</t>
    <rPh sb="3" eb="5">
      <t>テイメン</t>
    </rPh>
    <rPh sb="5" eb="7">
      <t>マサツ</t>
    </rPh>
    <rPh sb="8" eb="9">
      <t>スベ</t>
    </rPh>
    <rPh sb="10" eb="12">
      <t>テイコウ</t>
    </rPh>
    <phoneticPr fontId="5"/>
  </si>
  <si>
    <t>(2)前面土の受動土圧による滑り抵抗</t>
    <rPh sb="3" eb="5">
      <t>ゼンメン</t>
    </rPh>
    <rPh sb="5" eb="6">
      <t>ツチ</t>
    </rPh>
    <rPh sb="7" eb="9">
      <t>ジュドウ</t>
    </rPh>
    <rPh sb="9" eb="11">
      <t>ドアツ</t>
    </rPh>
    <rPh sb="14" eb="15">
      <t>スベ</t>
    </rPh>
    <rPh sb="16" eb="18">
      <t>テイコウ</t>
    </rPh>
    <phoneticPr fontId="2"/>
  </si>
  <si>
    <t>(3)滑り抵抗</t>
    <rPh sb="3" eb="4">
      <t>スベ</t>
    </rPh>
    <rPh sb="5" eb="7">
      <t>テイコウ</t>
    </rPh>
    <phoneticPr fontId="5"/>
  </si>
  <si>
    <t>(4)判定</t>
    <rPh sb="3" eb="5">
      <t>ハンテイ</t>
    </rPh>
    <phoneticPr fontId="5"/>
  </si>
  <si>
    <t>Ⅰ.コンクリートの許容応力度</t>
    <rPh sb="9" eb="11">
      <t>キョヨウ</t>
    </rPh>
    <rPh sb="11" eb="13">
      <t>オウリョク</t>
    </rPh>
    <rPh sb="13" eb="14">
      <t>ド</t>
    </rPh>
    <phoneticPr fontId="10"/>
  </si>
  <si>
    <t>Ⅱ.鉄筋の許容応力度</t>
    <rPh sb="2" eb="4">
      <t>テッキン</t>
    </rPh>
    <rPh sb="5" eb="7">
      <t>キョヨウ</t>
    </rPh>
    <rPh sb="7" eb="9">
      <t>オウリョク</t>
    </rPh>
    <rPh sb="9" eb="10">
      <t>ド</t>
    </rPh>
    <phoneticPr fontId="10"/>
  </si>
  <si>
    <t>PH</t>
    <phoneticPr fontId="5"/>
  </si>
  <si>
    <t>L=H-t1</t>
    <phoneticPr fontId="5"/>
  </si>
  <si>
    <t>L=H-Y</t>
    <phoneticPr fontId="5"/>
  </si>
  <si>
    <t>M=1/6*PH*L^2=</t>
    <phoneticPr fontId="5"/>
  </si>
  <si>
    <t>(1)壁体基部</t>
    <rPh sb="3" eb="5">
      <t>ヘキタイ</t>
    </rPh>
    <rPh sb="5" eb="7">
      <t>キブ</t>
    </rPh>
    <phoneticPr fontId="5"/>
  </si>
  <si>
    <t>kNm</t>
    <phoneticPr fontId="5"/>
  </si>
  <si>
    <t>Q=1/2*PH*L=</t>
    <phoneticPr fontId="5"/>
  </si>
  <si>
    <t>Ⅰ.応力算定</t>
    <rPh sb="2" eb="4">
      <t>オウリョク</t>
    </rPh>
    <rPh sb="4" eb="6">
      <t>サンテイ</t>
    </rPh>
    <phoneticPr fontId="5"/>
  </si>
  <si>
    <t>Ⅱ.断面算定</t>
    <rPh sb="2" eb="6">
      <t>ダンメンサンテイ</t>
    </rPh>
    <phoneticPr fontId="5"/>
  </si>
  <si>
    <t>t3(mm)</t>
    <phoneticPr fontId="5"/>
  </si>
  <si>
    <t>d(mm)</t>
    <phoneticPr fontId="5"/>
  </si>
  <si>
    <t>k:鉄筋位置</t>
    <rPh sb="2" eb="4">
      <t>テッキン</t>
    </rPh>
    <rPh sb="4" eb="6">
      <t>イチ</t>
    </rPh>
    <phoneticPr fontId="5"/>
  </si>
  <si>
    <t>j=d*7/8</t>
    <phoneticPr fontId="5"/>
  </si>
  <si>
    <t>use</t>
    <phoneticPr fontId="5"/>
  </si>
  <si>
    <t>ft(N/mm2)</t>
    <phoneticPr fontId="5"/>
  </si>
  <si>
    <t>fs(N/mm2)</t>
    <phoneticPr fontId="5"/>
  </si>
  <si>
    <t>mm2</t>
    <phoneticPr fontId="5"/>
  </si>
  <si>
    <t>at=</t>
    <phoneticPr fontId="5"/>
  </si>
  <si>
    <t>D10@200</t>
    <phoneticPr fontId="5"/>
  </si>
  <si>
    <t>at1=M/(ft*j)=</t>
    <phoneticPr fontId="5"/>
  </si>
  <si>
    <t>at1/at=</t>
    <phoneticPr fontId="5"/>
  </si>
  <si>
    <t>曲げ</t>
    <rPh sb="0" eb="1">
      <t>マ</t>
    </rPh>
    <phoneticPr fontId="5"/>
  </si>
  <si>
    <t>せん断</t>
    <rPh sb="2" eb="3">
      <t>ダン</t>
    </rPh>
    <phoneticPr fontId="5"/>
  </si>
  <si>
    <t>τ/fs=</t>
    <phoneticPr fontId="5"/>
  </si>
  <si>
    <t>底版の検討</t>
    <rPh sb="0" eb="2">
      <t>テイバン</t>
    </rPh>
    <rPh sb="3" eb="5">
      <t>ケントウ</t>
    </rPh>
    <phoneticPr fontId="5"/>
  </si>
  <si>
    <t>壁体の検討</t>
    <rPh sb="0" eb="2">
      <t>ヘキタイ</t>
    </rPh>
    <rPh sb="3" eb="5">
      <t>ケントウ</t>
    </rPh>
    <phoneticPr fontId="5"/>
  </si>
  <si>
    <t>(1)底版</t>
    <rPh sb="3" eb="5">
      <t>テイバン</t>
    </rPh>
    <phoneticPr fontId="5"/>
  </si>
  <si>
    <t>ｗ１</t>
    <phoneticPr fontId="5"/>
  </si>
  <si>
    <t>ｗ２</t>
    <phoneticPr fontId="5"/>
  </si>
  <si>
    <t>t1(mm)</t>
    <phoneticPr fontId="5"/>
  </si>
  <si>
    <t>L＝B-t3</t>
    <phoneticPr fontId="5"/>
  </si>
  <si>
    <t>w3=w1-w2</t>
    <phoneticPr fontId="5"/>
  </si>
  <si>
    <t>M2=1/3*w3*L^2=</t>
    <phoneticPr fontId="5"/>
  </si>
  <si>
    <t>M1=1/2*w2*L^2=</t>
    <phoneticPr fontId="5"/>
  </si>
  <si>
    <t>M=M1+M2=</t>
    <phoneticPr fontId="5"/>
  </si>
  <si>
    <t>Q1=w2*L=</t>
    <phoneticPr fontId="5"/>
  </si>
  <si>
    <t>Q2=1/2*w3*L=</t>
    <phoneticPr fontId="5"/>
  </si>
  <si>
    <t>Q=Q1+Q2=</t>
    <phoneticPr fontId="5"/>
  </si>
  <si>
    <t>(2)壁体中間部</t>
    <rPh sb="3" eb="5">
      <t>ヘキタイ</t>
    </rPh>
    <rPh sb="5" eb="7">
      <t>チュウカン</t>
    </rPh>
    <rPh sb="7" eb="8">
      <t>ブ</t>
    </rPh>
    <phoneticPr fontId="5"/>
  </si>
  <si>
    <t>§3.断面算定</t>
    <rPh sb="3" eb="5">
      <t>ダンメン</t>
    </rPh>
    <rPh sb="5" eb="7">
      <t>サンテイ</t>
    </rPh>
    <phoneticPr fontId="5"/>
  </si>
  <si>
    <t>1.</t>
    <phoneticPr fontId="5"/>
  </si>
  <si>
    <t>2.</t>
    <phoneticPr fontId="5"/>
  </si>
  <si>
    <t>τ=Q/(fs*J)=</t>
    <phoneticPr fontId="5"/>
  </si>
  <si>
    <t>sqa</t>
    <phoneticPr fontId="2"/>
  </si>
  <si>
    <t>qa</t>
    <phoneticPr fontId="2"/>
  </si>
  <si>
    <t>①+②+③</t>
    <phoneticPr fontId="2"/>
  </si>
  <si>
    <t>③</t>
    <phoneticPr fontId="2"/>
  </si>
  <si>
    <t>Nq</t>
    <phoneticPr fontId="2"/>
  </si>
  <si>
    <t>iq</t>
    <phoneticPr fontId="2"/>
  </si>
  <si>
    <t>②</t>
    <phoneticPr fontId="2"/>
  </si>
  <si>
    <t>Nｒ</t>
    <phoneticPr fontId="2"/>
  </si>
  <si>
    <t>B</t>
    <phoneticPr fontId="2"/>
  </si>
  <si>
    <t>①</t>
    <phoneticPr fontId="2"/>
  </si>
  <si>
    <t>Nｃ</t>
    <phoneticPr fontId="2"/>
  </si>
  <si>
    <t>ic</t>
    <phoneticPr fontId="2"/>
  </si>
  <si>
    <t>qu</t>
    <phoneticPr fontId="2"/>
  </si>
  <si>
    <t>L</t>
    <phoneticPr fontId="2"/>
  </si>
  <si>
    <t>N</t>
    <phoneticPr fontId="2"/>
  </si>
  <si>
    <t>S</t>
    <phoneticPr fontId="2"/>
  </si>
  <si>
    <t>F1</t>
    <phoneticPr fontId="2"/>
  </si>
  <si>
    <t>符号</t>
    <rPh sb="0" eb="2">
      <t>フゴウ</t>
    </rPh>
    <phoneticPr fontId="2"/>
  </si>
  <si>
    <t>短期応力に対する地盤の許容応力度</t>
    <rPh sb="0" eb="2">
      <t>タンキ</t>
    </rPh>
    <rPh sb="2" eb="4">
      <t>オウリョク</t>
    </rPh>
    <rPh sb="5" eb="6">
      <t>タイ</t>
    </rPh>
    <rPh sb="8" eb="10">
      <t>ジバン</t>
    </rPh>
    <rPh sb="11" eb="13">
      <t>キョヨウ</t>
    </rPh>
    <rPh sb="13" eb="15">
      <t>オウリョク</t>
    </rPh>
    <rPh sb="15" eb="16">
      <t>ド</t>
    </rPh>
    <phoneticPr fontId="2"/>
  </si>
  <si>
    <t>sqa:</t>
    <phoneticPr fontId="2"/>
  </si>
  <si>
    <t>長期応力に対する地盤の許容応力度</t>
    <rPh sb="0" eb="2">
      <t>チョウキ</t>
    </rPh>
    <rPh sb="2" eb="4">
      <t>オウリョク</t>
    </rPh>
    <rPh sb="5" eb="6">
      <t>タイ</t>
    </rPh>
    <rPh sb="8" eb="10">
      <t>ジバン</t>
    </rPh>
    <rPh sb="11" eb="13">
      <t>キョヨウ</t>
    </rPh>
    <rPh sb="13" eb="15">
      <t>オウリョク</t>
    </rPh>
    <rPh sb="15" eb="16">
      <t>ド</t>
    </rPh>
    <phoneticPr fontId="2"/>
  </si>
  <si>
    <t>qa:</t>
    <phoneticPr fontId="2"/>
  </si>
  <si>
    <t>③：</t>
    <phoneticPr fontId="2"/>
  </si>
  <si>
    <t>②：</t>
    <phoneticPr fontId="2"/>
  </si>
  <si>
    <t>icαCNｃ</t>
    <phoneticPr fontId="2"/>
  </si>
  <si>
    <t>①：</t>
    <phoneticPr fontId="2"/>
  </si>
  <si>
    <t>(m)</t>
    <phoneticPr fontId="2"/>
  </si>
  <si>
    <t>基礎に近接した最低地盤面から基礎荷重面までの深さ</t>
    <rPh sb="0" eb="2">
      <t>キソ</t>
    </rPh>
    <rPh sb="3" eb="5">
      <t>キンセツ</t>
    </rPh>
    <rPh sb="7" eb="9">
      <t>サイテイ</t>
    </rPh>
    <rPh sb="9" eb="11">
      <t>ジバン</t>
    </rPh>
    <rPh sb="11" eb="12">
      <t>メン</t>
    </rPh>
    <rPh sb="14" eb="16">
      <t>キソ</t>
    </rPh>
    <rPh sb="16" eb="18">
      <t>カジュウ</t>
    </rPh>
    <rPh sb="18" eb="19">
      <t>メン</t>
    </rPh>
    <rPh sb="22" eb="23">
      <t>フカ</t>
    </rPh>
    <phoneticPr fontId="2"/>
  </si>
  <si>
    <t>基礎荷重面より上方にある地盤の平均単位体積重量又は水中単位体積重量</t>
    <rPh sb="0" eb="2">
      <t>キソ</t>
    </rPh>
    <rPh sb="2" eb="4">
      <t>カジュウ</t>
    </rPh>
    <rPh sb="4" eb="5">
      <t>メン</t>
    </rPh>
    <rPh sb="7" eb="8">
      <t>ジョウ</t>
    </rPh>
    <rPh sb="8" eb="9">
      <t>ホウ</t>
    </rPh>
    <rPh sb="12" eb="14">
      <t>ジバン</t>
    </rPh>
    <rPh sb="15" eb="17">
      <t>ヘイキン</t>
    </rPh>
    <rPh sb="17" eb="19">
      <t>タンイ</t>
    </rPh>
    <rPh sb="19" eb="21">
      <t>タイセキ</t>
    </rPh>
    <rPh sb="21" eb="23">
      <t>ジュウリョウ</t>
    </rPh>
    <rPh sb="23" eb="24">
      <t>マタ</t>
    </rPh>
    <rPh sb="25" eb="27">
      <t>スイチュウ</t>
    </rPh>
    <rPh sb="27" eb="29">
      <t>タンイ</t>
    </rPh>
    <rPh sb="29" eb="31">
      <t>タイセキ</t>
    </rPh>
    <rPh sb="31" eb="33">
      <t>ジュウリョウ</t>
    </rPh>
    <phoneticPr fontId="2"/>
  </si>
  <si>
    <t>基礎荷重面下にある地盤の平均単位体積重量又は水中単位体積重量</t>
    <rPh sb="0" eb="2">
      <t>キソ</t>
    </rPh>
    <rPh sb="2" eb="4">
      <t>カジュウ</t>
    </rPh>
    <rPh sb="4" eb="5">
      <t>メン</t>
    </rPh>
    <rPh sb="5" eb="6">
      <t>シタ</t>
    </rPh>
    <rPh sb="9" eb="11">
      <t>ジバン</t>
    </rPh>
    <rPh sb="12" eb="14">
      <t>ヘイキン</t>
    </rPh>
    <rPh sb="14" eb="16">
      <t>タンイ</t>
    </rPh>
    <rPh sb="16" eb="18">
      <t>タイセキ</t>
    </rPh>
    <rPh sb="18" eb="20">
      <t>ジュウリョウ</t>
    </rPh>
    <rPh sb="20" eb="21">
      <t>マタ</t>
    </rPh>
    <rPh sb="22" eb="24">
      <t>スイチュウ</t>
    </rPh>
    <rPh sb="24" eb="26">
      <t>タンイ</t>
    </rPh>
    <rPh sb="26" eb="28">
      <t>タイセキ</t>
    </rPh>
    <rPh sb="28" eb="30">
      <t>ジュウリョウ</t>
    </rPh>
    <phoneticPr fontId="2"/>
  </si>
  <si>
    <t>Nr</t>
    <phoneticPr fontId="2"/>
  </si>
  <si>
    <t>Nc</t>
    <phoneticPr fontId="2"/>
  </si>
  <si>
    <t>地盤の内部摩擦角の応じて次の表に上げる係数</t>
    <rPh sb="0" eb="2">
      <t>ジバン</t>
    </rPh>
    <rPh sb="3" eb="5">
      <t>ナイブ</t>
    </rPh>
    <rPh sb="5" eb="7">
      <t>マサツ</t>
    </rPh>
    <rPh sb="7" eb="8">
      <t>カク</t>
    </rPh>
    <rPh sb="9" eb="10">
      <t>オウ</t>
    </rPh>
    <rPh sb="12" eb="13">
      <t>ツギ</t>
    </rPh>
    <rPh sb="14" eb="15">
      <t>ヒョウ</t>
    </rPh>
    <rPh sb="16" eb="17">
      <t>ア</t>
    </rPh>
    <rPh sb="19" eb="21">
      <t>ケイスウ</t>
    </rPh>
    <phoneticPr fontId="2"/>
  </si>
  <si>
    <t>Nｃ，Nｒ及びNｑ：</t>
    <rPh sb="5" eb="6">
      <t>オヨ</t>
    </rPh>
    <phoneticPr fontId="2"/>
  </si>
  <si>
    <t>基礎に作用する荷重の鉛直方向に対する傾斜角（θがφを超える場合は、φとする。）</t>
    <rPh sb="0" eb="2">
      <t>キソ</t>
    </rPh>
    <rPh sb="3" eb="5">
      <t>サヨウ</t>
    </rPh>
    <rPh sb="7" eb="9">
      <t>カジュウ</t>
    </rPh>
    <rPh sb="10" eb="12">
      <t>エンチョク</t>
    </rPh>
    <rPh sb="12" eb="14">
      <t>ホウコウ</t>
    </rPh>
    <rPh sb="15" eb="16">
      <t>タイ</t>
    </rPh>
    <rPh sb="18" eb="20">
      <t>ケイシャ</t>
    </rPh>
    <rPh sb="20" eb="21">
      <t>カク</t>
    </rPh>
    <rPh sb="26" eb="27">
      <t>コ</t>
    </rPh>
    <rPh sb="29" eb="31">
      <t>バアイ</t>
    </rPh>
    <phoneticPr fontId="2"/>
  </si>
  <si>
    <t>基礎に作用する荷重の鉛直方向にたいする傾斜角に応じて次の式によって計算した数値</t>
    <rPh sb="0" eb="2">
      <t>キソ</t>
    </rPh>
    <rPh sb="3" eb="5">
      <t>サヨウ</t>
    </rPh>
    <rPh sb="7" eb="9">
      <t>カジュウ</t>
    </rPh>
    <rPh sb="10" eb="12">
      <t>エンチョク</t>
    </rPh>
    <rPh sb="12" eb="14">
      <t>ホウコウ</t>
    </rPh>
    <rPh sb="19" eb="21">
      <t>ケイシャ</t>
    </rPh>
    <rPh sb="21" eb="22">
      <t>カク</t>
    </rPh>
    <rPh sb="23" eb="24">
      <t>オウ</t>
    </rPh>
    <rPh sb="26" eb="27">
      <t>ツギ</t>
    </rPh>
    <rPh sb="28" eb="29">
      <t>シキ</t>
    </rPh>
    <rPh sb="33" eb="35">
      <t>ケイサン</t>
    </rPh>
    <rPh sb="37" eb="39">
      <t>スウチ</t>
    </rPh>
    <phoneticPr fontId="2"/>
  </si>
  <si>
    <t>C=qu/2</t>
    <phoneticPr fontId="2"/>
  </si>
  <si>
    <t>qu=12.5N</t>
    <phoneticPr fontId="2"/>
  </si>
  <si>
    <t>基礎荷重面下にある地盤の粘着力</t>
    <rPh sb="0" eb="2">
      <t>キソ</t>
    </rPh>
    <rPh sb="2" eb="4">
      <t>カジュウ</t>
    </rPh>
    <rPh sb="4" eb="5">
      <t>メン</t>
    </rPh>
    <rPh sb="5" eb="6">
      <t>シタ</t>
    </rPh>
    <rPh sb="9" eb="11">
      <t>ジバン</t>
    </rPh>
    <rPh sb="12" eb="15">
      <t>ネンチャクリョク</t>
    </rPh>
    <phoneticPr fontId="2"/>
  </si>
  <si>
    <t>C：</t>
    <phoneticPr fontId="2"/>
  </si>
  <si>
    <t>基礎荷重面の形状係数　　　　0.5-0.1B/L</t>
    <rPh sb="0" eb="2">
      <t>キソ</t>
    </rPh>
    <rPh sb="2" eb="4">
      <t>カジュウ</t>
    </rPh>
    <rPh sb="4" eb="5">
      <t>メン</t>
    </rPh>
    <rPh sb="6" eb="8">
      <t>ケイジョウ</t>
    </rPh>
    <rPh sb="8" eb="10">
      <t>ケイスウ</t>
    </rPh>
    <phoneticPr fontId="2"/>
  </si>
  <si>
    <t>基礎荷重面の形状係数　　　　1.0+0.2B/L</t>
    <rPh sb="0" eb="2">
      <t>キソ</t>
    </rPh>
    <rPh sb="2" eb="4">
      <t>カジュウ</t>
    </rPh>
    <rPh sb="4" eb="5">
      <t>メン</t>
    </rPh>
    <rPh sb="6" eb="8">
      <t>ケイジョウ</t>
    </rPh>
    <rPh sb="8" eb="10">
      <t>ケイスウ</t>
    </rPh>
    <phoneticPr fontId="2"/>
  </si>
  <si>
    <t>基礎荷重面の長辺</t>
    <rPh sb="0" eb="2">
      <t>キソ</t>
    </rPh>
    <rPh sb="2" eb="4">
      <t>カジュウ</t>
    </rPh>
    <rPh sb="4" eb="5">
      <t>メン</t>
    </rPh>
    <rPh sb="6" eb="8">
      <t>チョウヘン</t>
    </rPh>
    <phoneticPr fontId="2"/>
  </si>
  <si>
    <t>L：</t>
    <phoneticPr fontId="2"/>
  </si>
  <si>
    <t>基礎荷重面の短辺</t>
    <rPh sb="0" eb="2">
      <t>キソ</t>
    </rPh>
    <rPh sb="2" eb="4">
      <t>カジュウ</t>
    </rPh>
    <rPh sb="4" eb="5">
      <t>メン</t>
    </rPh>
    <rPh sb="6" eb="8">
      <t>タンペン</t>
    </rPh>
    <phoneticPr fontId="2"/>
  </si>
  <si>
    <t>B：</t>
    <phoneticPr fontId="2"/>
  </si>
  <si>
    <t>②:φ（室内実験）=</t>
    <rPh sb="4" eb="6">
      <t>シツナイ</t>
    </rPh>
    <rPh sb="6" eb="8">
      <t>ジッケン</t>
    </rPh>
    <phoneticPr fontId="2"/>
  </si>
  <si>
    <t>①:φ=√20N+15=</t>
    <phoneticPr fontId="2"/>
  </si>
  <si>
    <t>内部摩擦角</t>
    <rPh sb="0" eb="2">
      <t>ナイブ</t>
    </rPh>
    <rPh sb="2" eb="4">
      <t>マサツ</t>
    </rPh>
    <rPh sb="4" eb="5">
      <t>カク</t>
    </rPh>
    <phoneticPr fontId="2"/>
  </si>
  <si>
    <t>φ：</t>
    <phoneticPr fontId="2"/>
  </si>
  <si>
    <t>N=</t>
    <phoneticPr fontId="2"/>
  </si>
  <si>
    <t>土質は</t>
    <phoneticPr fontId="2"/>
  </si>
  <si>
    <t>N値</t>
    <rPh sb="1" eb="2">
      <t>チ</t>
    </rPh>
    <phoneticPr fontId="2"/>
  </si>
  <si>
    <t>N：</t>
    <phoneticPr fontId="2"/>
  </si>
  <si>
    <t>1．設計地耐力</t>
    <rPh sb="2" eb="4">
      <t>セッケイ</t>
    </rPh>
    <rPh sb="4" eb="5">
      <t>チ</t>
    </rPh>
    <rPh sb="5" eb="7">
      <t>タイリョク</t>
    </rPh>
    <phoneticPr fontId="2"/>
  </si>
  <si>
    <r>
      <t>(kN/m</t>
    </r>
    <r>
      <rPr>
        <vertAlign val="superscript"/>
        <sz val="10"/>
        <rFont val="Meiryo UI"/>
        <family val="3"/>
        <charset val="128"/>
      </rPr>
      <t>2</t>
    </r>
    <r>
      <rPr>
        <sz val="10"/>
        <rFont val="Meiryo UI"/>
        <family val="3"/>
        <charset val="128"/>
      </rPr>
      <t>)</t>
    </r>
    <phoneticPr fontId="2"/>
  </si>
  <si>
    <r>
      <t>ic,i</t>
    </r>
    <r>
      <rPr>
        <vertAlign val="subscript"/>
        <sz val="10"/>
        <rFont val="Meiryo UI"/>
        <family val="3"/>
        <charset val="128"/>
      </rPr>
      <t>γ</t>
    </r>
    <r>
      <rPr>
        <sz val="10"/>
        <rFont val="Meiryo UI"/>
        <family val="3"/>
        <charset val="128"/>
      </rPr>
      <t>及びiq：</t>
    </r>
    <rPh sb="5" eb="6">
      <t>オヨ</t>
    </rPh>
    <phoneticPr fontId="2"/>
  </si>
  <si>
    <r>
      <t>ic=iq=(1-θ/90）</t>
    </r>
    <r>
      <rPr>
        <vertAlign val="superscript"/>
        <sz val="10"/>
        <rFont val="Meiryo UI"/>
        <family val="3"/>
        <charset val="128"/>
      </rPr>
      <t>2</t>
    </r>
    <phoneticPr fontId="2"/>
  </si>
  <si>
    <r>
      <t>i</t>
    </r>
    <r>
      <rPr>
        <vertAlign val="subscript"/>
        <sz val="10"/>
        <rFont val="Meiryo UI"/>
        <family val="3"/>
        <charset val="128"/>
      </rPr>
      <t>γ</t>
    </r>
    <r>
      <rPr>
        <sz val="10"/>
        <rFont val="Meiryo UI"/>
        <family val="3"/>
        <charset val="128"/>
      </rPr>
      <t>=(1-θ/φ）</t>
    </r>
    <r>
      <rPr>
        <vertAlign val="superscript"/>
        <sz val="10"/>
        <rFont val="Meiryo UI"/>
        <family val="3"/>
        <charset val="128"/>
      </rPr>
      <t>2</t>
    </r>
    <phoneticPr fontId="2"/>
  </si>
  <si>
    <r>
      <t>γ</t>
    </r>
    <r>
      <rPr>
        <vertAlign val="subscript"/>
        <sz val="10"/>
        <rFont val="Meiryo UI"/>
        <family val="3"/>
        <charset val="128"/>
      </rPr>
      <t>1</t>
    </r>
    <r>
      <rPr>
        <sz val="10"/>
        <rFont val="Meiryo UI"/>
        <family val="3"/>
        <charset val="128"/>
      </rPr>
      <t>：</t>
    </r>
    <phoneticPr fontId="2"/>
  </si>
  <si>
    <r>
      <t>γ</t>
    </r>
    <r>
      <rPr>
        <vertAlign val="subscript"/>
        <sz val="10"/>
        <rFont val="Meiryo UI"/>
        <family val="3"/>
        <charset val="128"/>
      </rPr>
      <t>2</t>
    </r>
    <r>
      <rPr>
        <sz val="10"/>
        <rFont val="Meiryo UI"/>
        <family val="3"/>
        <charset val="128"/>
      </rPr>
      <t>：</t>
    </r>
    <phoneticPr fontId="2"/>
  </si>
  <si>
    <r>
      <t>i</t>
    </r>
    <r>
      <rPr>
        <vertAlign val="subscript"/>
        <sz val="10"/>
        <rFont val="Meiryo UI"/>
        <family val="3"/>
        <charset val="128"/>
      </rPr>
      <t>γ</t>
    </r>
    <r>
      <rPr>
        <sz val="10"/>
        <rFont val="Meiryo UI"/>
        <family val="3"/>
        <charset val="128"/>
      </rPr>
      <t>βγ</t>
    </r>
    <r>
      <rPr>
        <vertAlign val="subscript"/>
        <sz val="10"/>
        <rFont val="Meiryo UI"/>
        <family val="3"/>
        <charset val="128"/>
      </rPr>
      <t>1</t>
    </r>
    <r>
      <rPr>
        <sz val="10"/>
        <rFont val="Meiryo UI"/>
        <family val="3"/>
        <charset val="128"/>
      </rPr>
      <t>BNｒ</t>
    </r>
    <phoneticPr fontId="2"/>
  </si>
  <si>
    <r>
      <t>iqγ</t>
    </r>
    <r>
      <rPr>
        <vertAlign val="subscript"/>
        <sz val="10"/>
        <rFont val="Meiryo UI"/>
        <family val="3"/>
        <charset val="128"/>
      </rPr>
      <t>2</t>
    </r>
    <r>
      <rPr>
        <sz val="10"/>
        <rFont val="Meiryo UI"/>
        <family val="3"/>
        <charset val="128"/>
      </rPr>
      <t>DfNq</t>
    </r>
    <phoneticPr fontId="2"/>
  </si>
  <si>
    <r>
      <t>qa=1/3(icαCNｃ+i</t>
    </r>
    <r>
      <rPr>
        <vertAlign val="subscript"/>
        <sz val="10"/>
        <rFont val="Meiryo UI"/>
        <family val="3"/>
        <charset val="128"/>
      </rPr>
      <t>γ</t>
    </r>
    <r>
      <rPr>
        <sz val="10"/>
        <rFont val="Meiryo UI"/>
        <family val="3"/>
        <charset val="128"/>
      </rPr>
      <t>βγ</t>
    </r>
    <r>
      <rPr>
        <vertAlign val="subscript"/>
        <sz val="10"/>
        <rFont val="Meiryo UI"/>
        <family val="3"/>
        <charset val="128"/>
      </rPr>
      <t>1</t>
    </r>
    <r>
      <rPr>
        <sz val="10"/>
        <rFont val="Meiryo UI"/>
        <family val="3"/>
        <charset val="128"/>
      </rPr>
      <t>BNｒ+iqγ</t>
    </r>
    <r>
      <rPr>
        <vertAlign val="subscript"/>
        <sz val="10"/>
        <rFont val="Meiryo UI"/>
        <family val="3"/>
        <charset val="128"/>
      </rPr>
      <t>2</t>
    </r>
    <r>
      <rPr>
        <sz val="10"/>
        <rFont val="Meiryo UI"/>
        <family val="3"/>
        <charset val="128"/>
      </rPr>
      <t>DfNq)</t>
    </r>
    <phoneticPr fontId="2"/>
  </si>
  <si>
    <r>
      <t>i</t>
    </r>
    <r>
      <rPr>
        <vertAlign val="subscript"/>
        <sz val="10"/>
        <rFont val="Meiryo UI"/>
        <family val="3"/>
        <charset val="128"/>
      </rPr>
      <t>γ</t>
    </r>
    <phoneticPr fontId="2"/>
  </si>
  <si>
    <r>
      <t>γ</t>
    </r>
    <r>
      <rPr>
        <vertAlign val="subscript"/>
        <sz val="10"/>
        <rFont val="Meiryo UI"/>
        <family val="3"/>
        <charset val="128"/>
      </rPr>
      <t>1</t>
    </r>
    <phoneticPr fontId="2"/>
  </si>
  <si>
    <r>
      <t>γ</t>
    </r>
    <r>
      <rPr>
        <vertAlign val="subscript"/>
        <sz val="10"/>
        <rFont val="Meiryo UI"/>
        <family val="3"/>
        <charset val="128"/>
      </rPr>
      <t>2</t>
    </r>
    <phoneticPr fontId="2"/>
  </si>
  <si>
    <t>P/H</t>
    <phoneticPr fontId="2"/>
  </si>
  <si>
    <t>土質</t>
    <phoneticPr fontId="9"/>
  </si>
  <si>
    <r>
      <t>(kN/m</t>
    </r>
    <r>
      <rPr>
        <vertAlign val="superscript"/>
        <sz val="10"/>
        <rFont val="Meiryo UI"/>
        <family val="3"/>
        <charset val="128"/>
      </rPr>
      <t>3</t>
    </r>
    <r>
      <rPr>
        <sz val="10"/>
        <rFont val="Meiryo UI"/>
        <family val="3"/>
        <charset val="128"/>
      </rPr>
      <t>)</t>
    </r>
    <phoneticPr fontId="9"/>
  </si>
  <si>
    <r>
      <t>(kN/m</t>
    </r>
    <r>
      <rPr>
        <vertAlign val="superscript"/>
        <sz val="10"/>
        <rFont val="Meiryo UI"/>
        <family val="3"/>
        <charset val="128"/>
      </rPr>
      <t>3</t>
    </r>
    <r>
      <rPr>
        <sz val="10"/>
        <rFont val="Meiryo UI"/>
        <family val="3"/>
        <charset val="128"/>
      </rPr>
      <t>)</t>
    </r>
    <r>
      <rPr>
        <sz val="9"/>
        <rFont val="ＭＳ Ｐゴシック"/>
        <family val="3"/>
        <charset val="128"/>
      </rPr>
      <t/>
    </r>
    <phoneticPr fontId="2"/>
  </si>
  <si>
    <r>
      <t>sqa=2/3(icαCNｃ+i</t>
    </r>
    <r>
      <rPr>
        <vertAlign val="subscript"/>
        <sz val="10"/>
        <rFont val="Meiryo UI"/>
        <family val="3"/>
        <charset val="128"/>
      </rPr>
      <t>γ</t>
    </r>
    <r>
      <rPr>
        <sz val="10"/>
        <rFont val="Meiryo UI"/>
        <family val="3"/>
        <charset val="128"/>
      </rPr>
      <t>βγ</t>
    </r>
    <r>
      <rPr>
        <vertAlign val="subscript"/>
        <sz val="10"/>
        <rFont val="Meiryo UI"/>
        <family val="3"/>
        <charset val="128"/>
      </rPr>
      <t>1</t>
    </r>
    <r>
      <rPr>
        <sz val="10"/>
        <rFont val="Meiryo UI"/>
        <family val="3"/>
        <charset val="128"/>
      </rPr>
      <t>BNｒ+iqγ</t>
    </r>
    <r>
      <rPr>
        <vertAlign val="subscript"/>
        <sz val="10"/>
        <rFont val="Meiryo UI"/>
        <family val="3"/>
        <charset val="128"/>
      </rPr>
      <t>2</t>
    </r>
    <r>
      <rPr>
        <sz val="10"/>
        <rFont val="Meiryo UI"/>
        <family val="3"/>
        <charset val="128"/>
      </rPr>
      <t>DfNq)</t>
    </r>
    <phoneticPr fontId="2"/>
  </si>
  <si>
    <t>つまさき長さ</t>
    <rPh sb="4" eb="5">
      <t>ナガ</t>
    </rPh>
    <phoneticPr fontId="9"/>
  </si>
  <si>
    <t>B1=</t>
    <phoneticPr fontId="9"/>
  </si>
  <si>
    <t>m</t>
    <phoneticPr fontId="9"/>
  </si>
  <si>
    <t>かかと長さ</t>
    <rPh sb="3" eb="4">
      <t>ナガ</t>
    </rPh>
    <phoneticPr fontId="9"/>
  </si>
  <si>
    <t>B2=</t>
  </si>
  <si>
    <t>D10@200</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</si>
</sst>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
    <numFmt numFmtId="177" formatCode="0.0"/>
    <numFmt numFmtId="178" formatCode="0.00_ "/>
    <numFmt numFmtId="179" formatCode="0.0_ "/>
    <numFmt numFmtId="180" formatCode="&quot;1/&quot;#.0"/>
    <numFmt numFmtId="181" formatCode="0.00_);[Red]\(0.00\)"/>
    <numFmt numFmtId="182" formatCode="0.0_);[Red]\(0.0\)"/>
    <numFmt numFmtId="183" formatCode="0_);[Red]\(0\)"/>
  </numFmts>
  <fonts count="25" x14ac:knownFonts="1">
    <font>
      <sz val="11"/>
      <color theme="1"/>
      <name val="游ゴシック"/>
      <family val="3"/>
      <charset val="128"/>
      <scheme val="minor"/>
    </font>
    <font>
      <sz val="6"/>
      <name val="游ゴシック"/>
      <family val="3"/>
      <charset val="128"/>
    </font>
    <font>
      <sz val="6"/>
      <name val="ＭＳ Ｐゴシック"/>
      <family val="3"/>
      <charset val="128"/>
    </font>
    <font>
      <sz val="10"/>
      <name val="Meiryo UI"/>
      <family val="3"/>
      <charset val="128"/>
    </font>
    <font>
      <sz val="10"/>
      <color indexed="12"/>
      <name val="Meiryo UI"/>
      <family val="3"/>
      <charset val="128"/>
    </font>
    <font>
      <sz val="6"/>
      <name val="游ゴシック"/>
      <family val="3"/>
      <charset val="128"/>
    </font>
    <font>
      <sz val="10"/>
      <color theme="1"/>
      <name val="Meiryo UI"/>
      <family val="3"/>
      <charset val="128"/>
    </font>
    <font>
      <sz val="11"/>
      <name val="ＭＳ Ｐゴシック"/>
      <family val="3"/>
      <charset val="128"/>
    </font>
    <font>
      <sz val="10.5"/>
      <name val="ＭＳ Ｐ明朝"/>
      <family val="1"/>
      <charset val="128"/>
    </font>
    <font>
      <sz val="6"/>
      <name val="游ゴシック"/>
      <family val="3"/>
      <charset val="128"/>
      <scheme val="minor"/>
    </font>
    <font>
      <sz val="9"/>
      <name val="ＭＳ Ｐ明朝"/>
      <family val="1"/>
      <charset val="128"/>
    </font>
    <font>
      <sz val="10"/>
      <name val="ＭＳ Ｐ明朝"/>
      <family val="1"/>
      <charset val="128"/>
    </font>
    <font>
      <sz val="9"/>
      <color indexed="12"/>
      <name val="ＭＳ Ｐ明朝"/>
      <family val="1"/>
      <charset val="128"/>
    </font>
    <font>
      <sz val="11"/>
      <name val="ＭＳ Ｐ明朝"/>
      <family val="1"/>
      <charset val="128"/>
    </font>
    <font>
      <sz val="9"/>
      <color indexed="61"/>
      <name val="ＭＳ Ｐ明朝"/>
      <family val="1"/>
      <charset val="128"/>
    </font>
    <font>
      <b/>
      <sz val="12"/>
      <name val="ＭＳ Ｐ明朝"/>
      <family val="1"/>
      <charset val="128"/>
    </font>
    <font>
      <sz val="10"/>
      <color indexed="10"/>
      <name val="ＭＳ Ｐ明朝"/>
      <family val="1"/>
      <charset val="128"/>
    </font>
    <font>
      <vertAlign val="superscript"/>
      <sz val="9"/>
      <name val="ＭＳ Ｐ明朝"/>
      <family val="1"/>
      <charset val="128"/>
    </font>
    <font>
      <sz val="9"/>
      <color indexed="8"/>
      <name val="ＭＳ Ｐ明朝"/>
      <family val="1"/>
      <charset val="128"/>
    </font>
    <font>
      <vertAlign val="superscript"/>
      <sz val="9"/>
      <color indexed="8"/>
      <name val="ＭＳ Ｐ明朝"/>
      <family val="1"/>
      <charset val="128"/>
    </font>
    <font>
      <vertAlign val="superscript"/>
      <sz val="10"/>
      <name val="Meiryo UI"/>
      <family val="3"/>
      <charset val="128"/>
    </font>
    <font>
      <sz val="9"/>
      <name val="ＭＳ Ｐゴシック"/>
      <family val="3"/>
      <charset val="128"/>
    </font>
    <font>
      <vertAlign val="subscript"/>
      <sz val="10"/>
      <name val="Meiryo UI"/>
      <family val="3"/>
      <charset val="128"/>
    </font>
    <font>
      <sz val="10"/>
      <color rgb="FF000000"/>
      <name val="MS UI Gothic"/>
      <family val="3"/>
      <charset val="128"/>
    </font>
    <font>
      <sz val="10"/>
      <color rgb="FF0070C0"/>
      <name val="Meiryo UI"/>
      <family val="3"/>
      <charset val="128"/>
    </font>
  </fonts>
  <fills count="3">
    <fill>
      <patternFill patternType="none"/>
    </fill>
    <fill>
      <patternFill patternType="gray125"/>
    </fill>
    <fill>
      <patternFill patternType="solid">
        <fgColor indexed="41"/>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hair">
        <color indexed="64"/>
      </left>
      <right/>
      <top/>
      <bottom/>
      <diagonal/>
    </border>
    <border>
      <left/>
      <right style="hair">
        <color indexed="64"/>
      </right>
      <top/>
      <bottom/>
      <diagonal/>
    </border>
  </borders>
  <cellStyleXfs count="3">
    <xf numFmtId="0" fontId="0" fillId="0" borderId="0">
      <alignment vertical="center"/>
    </xf>
    <xf numFmtId="0" fontId="7" fillId="0" borderId="0"/>
    <xf numFmtId="0" fontId="7" fillId="0" borderId="0">
      <alignment vertical="center"/>
    </xf>
  </cellStyleXfs>
  <cellXfs count="224">
    <xf numFmtId="0" fontId="0" fillId="0" borderId="0" xfId="0">
      <alignment vertical="center"/>
    </xf>
    <xf numFmtId="0" fontId="3" fillId="0" borderId="0" xfId="0" applyFont="1" applyAlignment="1"/>
    <xf numFmtId="0" fontId="6" fillId="0" borderId="0" xfId="0" applyFont="1">
      <alignment vertical="center"/>
    </xf>
    <xf numFmtId="0" fontId="3" fillId="0" borderId="0" xfId="0" applyFont="1" applyAlignment="1">
      <alignment horizontal="left"/>
    </xf>
    <xf numFmtId="0" fontId="3" fillId="0" borderId="0" xfId="0" applyFont="1" applyAlignment="1">
      <alignment horizontal="center"/>
    </xf>
    <xf numFmtId="0" fontId="3" fillId="0" borderId="0" xfId="0" applyFont="1" applyAlignment="1">
      <alignment horizontal="right"/>
    </xf>
    <xf numFmtId="0" fontId="6" fillId="0" borderId="0" xfId="0" applyFont="1" applyAlignment="1">
      <alignment horizontal="right" vertical="center"/>
    </xf>
    <xf numFmtId="0" fontId="6" fillId="0" borderId="0" xfId="0" applyFont="1" applyFill="1" applyBorder="1" applyAlignment="1">
      <alignment horizontal="right" vertical="center"/>
    </xf>
    <xf numFmtId="0" fontId="3" fillId="0" borderId="0" xfId="0" applyFont="1" applyFill="1" applyBorder="1" applyAlignment="1">
      <alignment horizontal="right"/>
    </xf>
    <xf numFmtId="0" fontId="4" fillId="0" borderId="0" xfId="0" applyFont="1" applyBorder="1" applyAlignment="1">
      <alignment horizontal="center"/>
    </xf>
    <xf numFmtId="0" fontId="6" fillId="0" borderId="0" xfId="0" applyFont="1" applyBorder="1">
      <alignment vertical="center"/>
    </xf>
    <xf numFmtId="0" fontId="3" fillId="0" borderId="0" xfId="0" quotePrefix="1" applyFont="1" applyAlignment="1">
      <alignment horizontal="right"/>
    </xf>
    <xf numFmtId="0" fontId="3" fillId="0" borderId="0" xfId="0" applyFont="1" applyAlignment="1">
      <alignment horizontal="center" vertical="center"/>
    </xf>
    <xf numFmtId="0" fontId="3" fillId="0" borderId="0" xfId="0" applyFont="1" applyAlignment="1">
      <alignment horizontal="right" vertical="center"/>
    </xf>
    <xf numFmtId="0" fontId="3" fillId="0" borderId="1" xfId="0" applyFont="1" applyBorder="1" applyAlignment="1">
      <alignment horizontal="center"/>
    </xf>
    <xf numFmtId="176" fontId="3" fillId="0" borderId="0" xfId="0" applyNumberFormat="1" applyFont="1" applyAlignment="1">
      <alignment horizontal="center"/>
    </xf>
    <xf numFmtId="0" fontId="3" fillId="0" borderId="0" xfId="0" applyFont="1" applyBorder="1" applyAlignment="1"/>
    <xf numFmtId="0" fontId="6" fillId="0" borderId="0" xfId="0" applyFont="1" applyAlignment="1">
      <alignment horizontal="left" vertical="center"/>
    </xf>
    <xf numFmtId="177" fontId="6" fillId="0" borderId="0" xfId="0" applyNumberFormat="1" applyFont="1" applyAlignment="1">
      <alignment horizontal="center" vertical="center"/>
    </xf>
    <xf numFmtId="0" fontId="6" fillId="0" borderId="1" xfId="0" applyFont="1" applyBorder="1" applyAlignment="1">
      <alignment horizontal="center" vertical="center"/>
    </xf>
    <xf numFmtId="0" fontId="6" fillId="0" borderId="1" xfId="0" applyFont="1" applyBorder="1">
      <alignment vertical="center"/>
    </xf>
    <xf numFmtId="0" fontId="6" fillId="0" borderId="1" xfId="0" applyFont="1" applyBorder="1" applyAlignment="1">
      <alignment horizontal="right" vertical="center"/>
    </xf>
    <xf numFmtId="2" fontId="6" fillId="0" borderId="1" xfId="0" applyNumberFormat="1" applyFont="1" applyBorder="1">
      <alignment vertical="center"/>
    </xf>
    <xf numFmtId="0" fontId="3" fillId="0" borderId="1" xfId="0" applyFont="1" applyBorder="1" applyAlignment="1">
      <alignment horizontal="right"/>
    </xf>
    <xf numFmtId="0" fontId="6" fillId="0" borderId="2" xfId="0" applyFont="1" applyBorder="1">
      <alignment vertical="center"/>
    </xf>
    <xf numFmtId="0" fontId="6" fillId="0" borderId="3" xfId="0" applyFont="1" applyBorder="1">
      <alignment vertical="center"/>
    </xf>
    <xf numFmtId="0" fontId="6" fillId="0" borderId="4" xfId="0" applyFont="1" applyBorder="1">
      <alignment vertical="center"/>
    </xf>
    <xf numFmtId="0" fontId="6" fillId="0" borderId="4" xfId="0" applyFont="1" applyBorder="1" applyAlignment="1">
      <alignment horizontal="right" vertical="center"/>
    </xf>
    <xf numFmtId="2" fontId="6" fillId="0" borderId="0" xfId="0" applyNumberFormat="1" applyFont="1" applyBorder="1">
      <alignment vertical="center"/>
    </xf>
    <xf numFmtId="0" fontId="6" fillId="0" borderId="2" xfId="0" applyFont="1" applyBorder="1" applyAlignment="1">
      <alignment horizontal="center" vertical="center"/>
    </xf>
    <xf numFmtId="2" fontId="6" fillId="0" borderId="2" xfId="0" applyNumberFormat="1" applyFont="1" applyBorder="1">
      <alignment vertical="center"/>
    </xf>
    <xf numFmtId="2" fontId="6" fillId="0" borderId="0" xfId="0" applyNumberFormat="1" applyFont="1" applyAlignment="1">
      <alignment horizontal="center" vertical="center"/>
    </xf>
    <xf numFmtId="0" fontId="6" fillId="0" borderId="0" xfId="0" quotePrefix="1" applyFont="1" applyAlignment="1">
      <alignment horizontal="right" vertical="center"/>
    </xf>
    <xf numFmtId="177" fontId="6" fillId="0" borderId="1" xfId="0" applyNumberFormat="1" applyFont="1" applyBorder="1">
      <alignment vertical="center"/>
    </xf>
    <xf numFmtId="177" fontId="3" fillId="0" borderId="1" xfId="0" applyNumberFormat="1" applyFont="1" applyBorder="1" applyAlignment="1">
      <alignment horizontal="center"/>
    </xf>
    <xf numFmtId="2" fontId="3" fillId="0" borderId="0" xfId="0" applyNumberFormat="1" applyFont="1" applyAlignment="1">
      <alignment horizontal="center"/>
    </xf>
    <xf numFmtId="178" fontId="6" fillId="0" borderId="0" xfId="0" applyNumberFormat="1" applyFont="1">
      <alignment vertical="center"/>
    </xf>
    <xf numFmtId="0" fontId="10" fillId="0" borderId="0" xfId="1" applyFont="1" applyBorder="1" applyAlignment="1">
      <alignment vertical="center"/>
    </xf>
    <xf numFmtId="0" fontId="10" fillId="0" borderId="0" xfId="1" applyFont="1"/>
    <xf numFmtId="0" fontId="10" fillId="0" borderId="0" xfId="1" applyFont="1" applyAlignment="1">
      <alignment vertical="center"/>
    </xf>
    <xf numFmtId="0" fontId="10" fillId="0" borderId="0" xfId="1" applyFont="1" applyBorder="1"/>
    <xf numFmtId="0" fontId="10" fillId="0" borderId="0" xfId="1" applyFont="1" applyBorder="1" applyAlignment="1">
      <alignment horizontal="left"/>
    </xf>
    <xf numFmtId="0" fontId="12" fillId="0" borderId="0" xfId="1" applyFont="1" applyFill="1" applyBorder="1" applyAlignment="1" applyProtection="1">
      <alignment horizontal="left"/>
      <protection locked="0"/>
    </xf>
    <xf numFmtId="0" fontId="10" fillId="0" borderId="0" xfId="1" applyFont="1" applyBorder="1" applyProtection="1">
      <protection locked="0"/>
    </xf>
    <xf numFmtId="0" fontId="10" fillId="0" borderId="0" xfId="1" applyFont="1" applyFill="1" applyBorder="1"/>
    <xf numFmtId="0" fontId="10" fillId="0" borderId="0" xfId="1" applyFont="1" applyFill="1" applyBorder="1" applyAlignment="1">
      <alignment horizontal="left"/>
    </xf>
    <xf numFmtId="0" fontId="12" fillId="2" borderId="15" xfId="1" applyFont="1" applyFill="1" applyBorder="1" applyAlignment="1">
      <alignment horizontal="center" vertical="center"/>
    </xf>
    <xf numFmtId="0" fontId="10" fillId="0" borderId="0" xfId="1" applyFont="1" applyFill="1" applyBorder="1" applyAlignment="1">
      <alignment horizontal="right"/>
    </xf>
    <xf numFmtId="0" fontId="10" fillId="0" borderId="0" xfId="1" applyFont="1" applyFill="1" applyBorder="1" applyAlignment="1"/>
    <xf numFmtId="0" fontId="10" fillId="0" borderId="0" xfId="1" applyFont="1" applyFill="1" applyBorder="1" applyProtection="1">
      <protection locked="0"/>
    </xf>
    <xf numFmtId="0" fontId="12" fillId="0" borderId="0" xfId="1" applyFont="1" applyFill="1" applyBorder="1" applyProtection="1">
      <protection locked="0"/>
    </xf>
    <xf numFmtId="0" fontId="12" fillId="0" borderId="0" xfId="1" applyFont="1" applyFill="1" applyBorder="1"/>
    <xf numFmtId="0" fontId="10" fillId="0" borderId="0" xfId="1" quotePrefix="1" applyFont="1" applyFill="1" applyBorder="1"/>
    <xf numFmtId="0" fontId="13" fillId="0" borderId="0" xfId="1" applyFont="1" applyBorder="1" applyAlignment="1">
      <alignment horizontal="center" vertical="center"/>
    </xf>
    <xf numFmtId="0" fontId="8" fillId="0" borderId="0" xfId="1" applyNumberFormat="1" applyFont="1" applyBorder="1" applyAlignment="1">
      <alignment horizontal="center" vertical="center"/>
    </xf>
    <xf numFmtId="0" fontId="8" fillId="0" borderId="0" xfId="1" applyNumberFormat="1" applyFont="1" applyBorder="1" applyAlignment="1">
      <alignment horizontal="center" vertical="center" wrapText="1"/>
    </xf>
    <xf numFmtId="0" fontId="11" fillId="0" borderId="0" xfId="1" applyFont="1" applyBorder="1" applyAlignment="1">
      <alignment vertical="center" wrapText="1"/>
    </xf>
    <xf numFmtId="0" fontId="8" fillId="0" borderId="0" xfId="1" applyNumberFormat="1" applyFont="1" applyBorder="1" applyAlignment="1">
      <alignment vertical="center" wrapText="1"/>
    </xf>
    <xf numFmtId="0" fontId="13" fillId="0" borderId="0" xfId="1" applyFont="1" applyBorder="1" applyAlignment="1"/>
    <xf numFmtId="0" fontId="14" fillId="0" borderId="0" xfId="1" applyFont="1" applyFill="1" applyBorder="1" applyProtection="1">
      <protection locked="0"/>
    </xf>
    <xf numFmtId="0" fontId="15" fillId="0" borderId="0" xfId="1" applyFont="1" applyFill="1" applyBorder="1" applyAlignment="1">
      <alignment vertical="center"/>
    </xf>
    <xf numFmtId="0" fontId="10" fillId="0" borderId="0" xfId="1" applyFont="1" applyFill="1" applyBorder="1" applyAlignment="1">
      <alignment vertical="center"/>
    </xf>
    <xf numFmtId="0" fontId="11" fillId="0" borderId="0" xfId="1" quotePrefix="1" applyFont="1" applyBorder="1" applyAlignment="1">
      <alignment horizontal="left"/>
    </xf>
    <xf numFmtId="0" fontId="16" fillId="0" borderId="0" xfId="1" applyFont="1" applyAlignment="1">
      <alignment vertical="center"/>
    </xf>
    <xf numFmtId="0" fontId="11" fillId="0" borderId="0" xfId="1" applyFont="1" applyFill="1" applyBorder="1" applyAlignment="1">
      <alignment horizontal="left" vertical="center"/>
    </xf>
    <xf numFmtId="179" fontId="12" fillId="2" borderId="15" xfId="1" applyNumberFormat="1" applyFont="1" applyFill="1" applyBorder="1" applyAlignment="1">
      <alignment horizontal="center" vertical="center"/>
    </xf>
    <xf numFmtId="178" fontId="12" fillId="2" borderId="15" xfId="1" applyNumberFormat="1" applyFont="1" applyFill="1" applyBorder="1" applyAlignment="1">
      <alignment horizontal="center" vertical="center"/>
    </xf>
    <xf numFmtId="0" fontId="10" fillId="0" borderId="15" xfId="1" applyFont="1" applyBorder="1"/>
    <xf numFmtId="0" fontId="18" fillId="0" borderId="0" xfId="1" applyFont="1"/>
    <xf numFmtId="0" fontId="13" fillId="0" borderId="0" xfId="1" applyFont="1" applyBorder="1" applyAlignment="1">
      <alignment horizontal="center" vertical="center" wrapText="1"/>
    </xf>
    <xf numFmtId="0" fontId="13" fillId="0" borderId="0" xfId="1" applyFont="1" applyBorder="1" applyAlignment="1">
      <alignment horizontal="center"/>
    </xf>
    <xf numFmtId="0" fontId="12" fillId="2" borderId="11" xfId="1" applyFont="1" applyFill="1" applyBorder="1" applyAlignment="1">
      <alignment horizontal="center" vertical="center"/>
    </xf>
    <xf numFmtId="0" fontId="12" fillId="2" borderId="16" xfId="1" applyNumberFormat="1" applyFont="1" applyFill="1" applyBorder="1" applyAlignment="1">
      <alignment horizontal="center" vertical="center"/>
    </xf>
    <xf numFmtId="0" fontId="12" fillId="2" borderId="12" xfId="1" applyNumberFormat="1" applyFont="1" applyFill="1" applyBorder="1" applyAlignment="1">
      <alignment horizontal="center" vertical="center"/>
    </xf>
    <xf numFmtId="0" fontId="12" fillId="2" borderId="11" xfId="1" applyNumberFormat="1" applyFont="1" applyFill="1" applyBorder="1" applyAlignment="1">
      <alignment horizontal="center" vertical="center"/>
    </xf>
    <xf numFmtId="0" fontId="12" fillId="2" borderId="16" xfId="1" applyNumberFormat="1" applyFont="1" applyFill="1" applyBorder="1" applyAlignment="1">
      <alignment horizontal="center" vertical="center" wrapText="1"/>
    </xf>
    <xf numFmtId="0" fontId="12" fillId="2" borderId="11" xfId="1" applyNumberFormat="1" applyFont="1" applyFill="1" applyBorder="1" applyAlignment="1">
      <alignment horizontal="center" vertical="center" wrapText="1"/>
    </xf>
    <xf numFmtId="0" fontId="10" fillId="0" borderId="11" xfId="1" applyFont="1" applyFill="1" applyBorder="1" applyAlignment="1">
      <alignment horizontal="center" vertical="center" wrapText="1"/>
    </xf>
    <xf numFmtId="0" fontId="12" fillId="2" borderId="15" xfId="1" applyNumberFormat="1" applyFont="1" applyFill="1" applyBorder="1" applyAlignment="1">
      <alignment horizontal="center" vertical="center"/>
    </xf>
    <xf numFmtId="0" fontId="12" fillId="2" borderId="15" xfId="1" applyNumberFormat="1" applyFont="1" applyFill="1" applyBorder="1" applyAlignment="1">
      <alignment horizontal="center" vertical="center" wrapText="1"/>
    </xf>
    <xf numFmtId="0" fontId="10" fillId="0" borderId="15" xfId="1" applyFont="1" applyFill="1" applyBorder="1" applyAlignment="1"/>
    <xf numFmtId="3" fontId="10" fillId="0" borderId="0" xfId="1" applyNumberFormat="1" applyFont="1" applyFill="1" applyBorder="1" applyProtection="1">
      <protection locked="0"/>
    </xf>
    <xf numFmtId="3" fontId="10" fillId="0" borderId="0" xfId="1" quotePrefix="1" applyNumberFormat="1" applyFont="1" applyFill="1" applyBorder="1" applyAlignment="1" applyProtection="1">
      <alignment horizontal="left"/>
      <protection locked="0"/>
    </xf>
    <xf numFmtId="0" fontId="12" fillId="2" borderId="15" xfId="1" applyFont="1" applyFill="1" applyBorder="1" applyAlignment="1">
      <alignment horizontal="center" vertical="center" wrapText="1"/>
    </xf>
    <xf numFmtId="0" fontId="10" fillId="0" borderId="15" xfId="1" applyFont="1" applyFill="1" applyBorder="1"/>
    <xf numFmtId="0" fontId="10" fillId="0" borderId="0" xfId="1" applyNumberFormat="1" applyFont="1" applyFill="1" applyBorder="1" applyAlignment="1">
      <alignment horizontal="center" vertical="center"/>
    </xf>
    <xf numFmtId="0" fontId="10" fillId="0" borderId="0" xfId="1" applyNumberFormat="1" applyFont="1" applyFill="1" applyBorder="1" applyAlignment="1">
      <alignment horizontal="center" vertical="center" wrapText="1"/>
    </xf>
    <xf numFmtId="0" fontId="3" fillId="0" borderId="0" xfId="1" applyFont="1" applyFill="1" applyBorder="1" applyAlignment="1">
      <alignment horizontal="left" vertical="center"/>
    </xf>
    <xf numFmtId="0" fontId="4" fillId="0" borderId="0" xfId="1" applyFont="1" applyFill="1" applyBorder="1" applyAlignment="1" applyProtection="1">
      <alignment horizontal="left"/>
      <protection locked="0"/>
    </xf>
    <xf numFmtId="0" fontId="3" fillId="0" borderId="0" xfId="1" applyFont="1" applyFill="1" applyBorder="1"/>
    <xf numFmtId="0" fontId="3" fillId="0" borderId="0" xfId="1" applyFont="1" applyFill="1" applyBorder="1" applyAlignment="1">
      <alignment horizontal="left"/>
    </xf>
    <xf numFmtId="0" fontId="3" fillId="0" borderId="0" xfId="1" applyFont="1" applyFill="1" applyBorder="1" applyProtection="1">
      <protection locked="0"/>
    </xf>
    <xf numFmtId="0" fontId="4" fillId="0" borderId="0" xfId="1" applyFont="1" applyFill="1" applyBorder="1"/>
    <xf numFmtId="0" fontId="3" fillId="0" borderId="0" xfId="0" applyNumberFormat="1" applyFont="1" applyAlignment="1">
      <alignment horizontal="center"/>
    </xf>
    <xf numFmtId="178" fontId="3" fillId="0" borderId="0" xfId="0" applyNumberFormat="1" applyFont="1" applyAlignment="1"/>
    <xf numFmtId="2" fontId="6" fillId="0" borderId="0" xfId="0" applyNumberFormat="1" applyFont="1" applyAlignment="1">
      <alignment horizontal="left" vertical="center"/>
    </xf>
    <xf numFmtId="177" fontId="3" fillId="0" borderId="0" xfId="0" applyNumberFormat="1" applyFont="1" applyAlignment="1">
      <alignment horizontal="center" vertical="center"/>
    </xf>
    <xf numFmtId="0" fontId="3" fillId="0" borderId="0" xfId="0" applyFont="1" applyBorder="1" applyAlignment="1">
      <alignment horizontal="right"/>
    </xf>
    <xf numFmtId="176" fontId="3" fillId="0" borderId="0" xfId="0" applyNumberFormat="1" applyFont="1" applyBorder="1" applyAlignment="1">
      <alignment horizontal="center"/>
    </xf>
    <xf numFmtId="2" fontId="3" fillId="0" borderId="0" xfId="0" applyNumberFormat="1" applyFont="1" applyBorder="1" applyAlignment="1">
      <alignment horizontal="center"/>
    </xf>
    <xf numFmtId="177" fontId="3" fillId="0" borderId="0" xfId="0" applyNumberFormat="1" applyFont="1" applyBorder="1" applyAlignment="1">
      <alignment horizontal="center"/>
    </xf>
    <xf numFmtId="0" fontId="3" fillId="0" borderId="0" xfId="0" applyFont="1" applyBorder="1" applyAlignment="1">
      <alignment horizontal="right" vertical="center"/>
    </xf>
    <xf numFmtId="0" fontId="3" fillId="0" borderId="0" xfId="0" applyFont="1" applyBorder="1" applyAlignment="1">
      <alignment horizontal="left"/>
    </xf>
    <xf numFmtId="2" fontId="3" fillId="0" borderId="0" xfId="0" applyNumberFormat="1" applyFont="1" applyBorder="1" applyAlignment="1">
      <alignment horizontal="left"/>
    </xf>
    <xf numFmtId="180" fontId="6" fillId="0" borderId="0" xfId="0" applyNumberFormat="1" applyFont="1" applyBorder="1" applyAlignment="1">
      <alignment horizontal="center" vertical="center"/>
    </xf>
    <xf numFmtId="0" fontId="3" fillId="0" borderId="16" xfId="1" applyFont="1" applyFill="1" applyBorder="1" applyAlignment="1">
      <alignment vertical="center" wrapText="1"/>
    </xf>
    <xf numFmtId="0" fontId="3" fillId="0" borderId="11" xfId="1" applyFont="1" applyFill="1" applyBorder="1" applyAlignment="1">
      <alignment vertical="center" wrapText="1"/>
    </xf>
    <xf numFmtId="2" fontId="6" fillId="0" borderId="1" xfId="0" applyNumberFormat="1" applyFont="1" applyBorder="1" applyAlignment="1">
      <alignment horizontal="center" vertical="center"/>
    </xf>
    <xf numFmtId="1" fontId="6" fillId="0" borderId="0" xfId="0" applyNumberFormat="1" applyFont="1" applyAlignment="1">
      <alignment horizontal="center" vertical="center"/>
    </xf>
    <xf numFmtId="177" fontId="6" fillId="0" borderId="1" xfId="0" applyNumberFormat="1" applyFont="1" applyBorder="1" applyAlignment="1">
      <alignment horizontal="center" vertical="center"/>
    </xf>
    <xf numFmtId="0" fontId="6" fillId="0" borderId="1" xfId="0" applyFont="1" applyBorder="1" applyAlignment="1">
      <alignment horizontal="center" vertical="center" shrinkToFit="1"/>
    </xf>
    <xf numFmtId="178" fontId="6" fillId="0" borderId="1" xfId="0" applyNumberFormat="1" applyFont="1" applyBorder="1" applyAlignment="1">
      <alignment horizontal="center" vertical="center"/>
    </xf>
    <xf numFmtId="0" fontId="4" fillId="0" borderId="15" xfId="1" applyFont="1" applyFill="1" applyBorder="1" applyAlignment="1">
      <alignment horizontal="center" vertical="center"/>
    </xf>
    <xf numFmtId="179" fontId="4" fillId="0" borderId="15" xfId="1" applyNumberFormat="1" applyFont="1" applyFill="1" applyBorder="1" applyAlignment="1">
      <alignment horizontal="center" vertical="center"/>
    </xf>
    <xf numFmtId="178" fontId="4" fillId="0" borderId="15" xfId="1" applyNumberFormat="1" applyFont="1" applyFill="1" applyBorder="1" applyAlignment="1">
      <alignment horizontal="center" vertical="center"/>
    </xf>
    <xf numFmtId="0" fontId="4" fillId="0" borderId="15" xfId="1" applyNumberFormat="1" applyFont="1" applyFill="1" applyBorder="1" applyAlignment="1">
      <alignment horizontal="center" vertical="center"/>
    </xf>
    <xf numFmtId="0" fontId="4" fillId="0" borderId="15" xfId="1" applyNumberFormat="1" applyFont="1" applyFill="1" applyBorder="1" applyAlignment="1">
      <alignment horizontal="center" vertical="center" wrapText="1"/>
    </xf>
    <xf numFmtId="0" fontId="6" fillId="0" borderId="0" xfId="0" applyFont="1" applyAlignment="1">
      <alignment horizontal="center" vertical="center"/>
    </xf>
    <xf numFmtId="0" fontId="3" fillId="0" borderId="0" xfId="0" applyFont="1" applyBorder="1" applyAlignment="1">
      <alignment horizontal="center"/>
    </xf>
    <xf numFmtId="182" fontId="3" fillId="0" borderId="15" xfId="2" applyNumberFormat="1" applyFont="1" applyBorder="1">
      <alignment vertical="center"/>
    </xf>
    <xf numFmtId="0" fontId="3" fillId="0" borderId="0" xfId="2" applyFont="1">
      <alignment vertical="center"/>
    </xf>
    <xf numFmtId="0" fontId="3" fillId="0" borderId="0" xfId="2" applyFont="1" applyAlignment="1">
      <alignment horizontal="right" vertical="center"/>
    </xf>
    <xf numFmtId="0" fontId="3" fillId="0" borderId="0" xfId="2" applyFont="1" applyBorder="1" applyAlignment="1">
      <alignment horizontal="right" vertical="center"/>
    </xf>
    <xf numFmtId="0" fontId="4" fillId="0" borderId="0" xfId="2" applyFont="1" applyBorder="1" applyAlignment="1">
      <alignment horizontal="left" vertical="center"/>
    </xf>
    <xf numFmtId="0" fontId="3" fillId="0" borderId="0" xfId="2" applyFont="1" applyBorder="1">
      <alignment vertical="center"/>
    </xf>
    <xf numFmtId="181" fontId="3" fillId="0" borderId="0" xfId="2" applyNumberFormat="1" applyFont="1" applyBorder="1" applyAlignment="1">
      <alignment horizontal="left" vertical="center"/>
    </xf>
    <xf numFmtId="0" fontId="4" fillId="0" borderId="0" xfId="2" applyFont="1" applyBorder="1">
      <alignment vertical="center"/>
    </xf>
    <xf numFmtId="0" fontId="3" fillId="0" borderId="0" xfId="2" applyFont="1" applyBorder="1" applyAlignment="1">
      <alignment horizontal="center" vertical="center"/>
    </xf>
    <xf numFmtId="0" fontId="3" fillId="0" borderId="18" xfId="2" applyFont="1" applyBorder="1" applyAlignment="1">
      <alignment horizontal="center" vertical="center"/>
    </xf>
    <xf numFmtId="0" fontId="3" fillId="0" borderId="1" xfId="2" applyFont="1" applyBorder="1">
      <alignment vertical="center"/>
    </xf>
    <xf numFmtId="0" fontId="3" fillId="0" borderId="1" xfId="2" applyFont="1" applyBorder="1" applyAlignment="1">
      <alignment horizontal="center" vertical="center"/>
    </xf>
    <xf numFmtId="0" fontId="3" fillId="0" borderId="17" xfId="2" applyFont="1" applyBorder="1">
      <alignment vertical="center"/>
    </xf>
    <xf numFmtId="0" fontId="3" fillId="0" borderId="18" xfId="2" applyFont="1" applyBorder="1">
      <alignment vertical="center"/>
    </xf>
    <xf numFmtId="182" fontId="3" fillId="0" borderId="1" xfId="2" applyNumberFormat="1" applyFont="1" applyBorder="1">
      <alignment vertical="center"/>
    </xf>
    <xf numFmtId="178" fontId="3" fillId="0" borderId="17" xfId="2" applyNumberFormat="1" applyFont="1" applyBorder="1">
      <alignment vertical="center"/>
    </xf>
    <xf numFmtId="178" fontId="3" fillId="0" borderId="0" xfId="2" applyNumberFormat="1" applyFont="1" applyBorder="1">
      <alignment vertical="center"/>
    </xf>
    <xf numFmtId="179" fontId="3" fillId="0" borderId="18" xfId="2" applyNumberFormat="1" applyFont="1" applyBorder="1">
      <alignment vertical="center"/>
    </xf>
    <xf numFmtId="0" fontId="3" fillId="0" borderId="0" xfId="2" applyFont="1" applyAlignment="1">
      <alignment horizontal="center" vertical="center"/>
    </xf>
    <xf numFmtId="0" fontId="3" fillId="0" borderId="15" xfId="2" applyFont="1" applyBorder="1" applyAlignment="1">
      <alignment horizontal="center" vertical="center"/>
    </xf>
    <xf numFmtId="0" fontId="3" fillId="0" borderId="15" xfId="2" applyFont="1" applyBorder="1">
      <alignment vertical="center"/>
    </xf>
    <xf numFmtId="0" fontId="4" fillId="0" borderId="15" xfId="2" applyFont="1" applyBorder="1" applyAlignment="1">
      <alignment horizontal="center" vertical="center"/>
    </xf>
    <xf numFmtId="183" fontId="4" fillId="0" borderId="15" xfId="2" applyNumberFormat="1" applyFont="1" applyBorder="1" applyAlignment="1">
      <alignment horizontal="center" vertical="center"/>
    </xf>
    <xf numFmtId="181" fontId="4" fillId="0" borderId="15" xfId="2" applyNumberFormat="1" applyFont="1" applyBorder="1">
      <alignment vertical="center"/>
    </xf>
    <xf numFmtId="181" fontId="3" fillId="0" borderId="15" xfId="2" applyNumberFormat="1" applyFont="1" applyBorder="1">
      <alignment vertical="center"/>
    </xf>
    <xf numFmtId="181" fontId="3" fillId="0" borderId="15" xfId="2" applyNumberFormat="1" applyFont="1" applyBorder="1" applyAlignment="1">
      <alignment vertical="center"/>
    </xf>
    <xf numFmtId="181" fontId="3" fillId="0" borderId="0" xfId="2" applyNumberFormat="1" applyFont="1" applyBorder="1" applyAlignment="1">
      <alignment vertical="center"/>
    </xf>
    <xf numFmtId="0" fontId="3" fillId="0" borderId="11" xfId="2" applyFont="1" applyBorder="1" applyAlignment="1">
      <alignment horizontal="center" vertical="center"/>
    </xf>
    <xf numFmtId="181" fontId="3" fillId="0" borderId="11" xfId="2" applyNumberFormat="1" applyFont="1" applyBorder="1">
      <alignment vertical="center"/>
    </xf>
    <xf numFmtId="0" fontId="3" fillId="0" borderId="0" xfId="0" quotePrefix="1" applyNumberFormat="1" applyFont="1" applyAlignment="1">
      <alignment horizontal="left"/>
    </xf>
    <xf numFmtId="0" fontId="3" fillId="0" borderId="0" xfId="0" applyFont="1" applyBorder="1" applyAlignment="1">
      <alignment horizontal="center"/>
    </xf>
    <xf numFmtId="0" fontId="24" fillId="0" borderId="0" xfId="0" applyFont="1" applyFill="1">
      <alignment vertical="center"/>
    </xf>
    <xf numFmtId="176" fontId="6" fillId="0" borderId="0" xfId="0" applyNumberFormat="1" applyFont="1" applyAlignment="1">
      <alignment horizontal="center" vertical="center"/>
    </xf>
    <xf numFmtId="0" fontId="24" fillId="0" borderId="1" xfId="0" applyFont="1" applyBorder="1" applyAlignment="1">
      <alignment horizontal="center" vertical="center"/>
    </xf>
    <xf numFmtId="0" fontId="10" fillId="0" borderId="5" xfId="1" applyNumberFormat="1" applyFont="1" applyFill="1" applyBorder="1" applyAlignment="1">
      <alignment horizontal="center" vertical="center" wrapText="1"/>
    </xf>
    <xf numFmtId="0" fontId="10" fillId="0" borderId="16" xfId="1" applyNumberFormat="1" applyFont="1" applyFill="1" applyBorder="1" applyAlignment="1">
      <alignment horizontal="center" vertical="center" wrapText="1"/>
    </xf>
    <xf numFmtId="0" fontId="10" fillId="0" borderId="11" xfId="1" applyNumberFormat="1" applyFont="1" applyFill="1" applyBorder="1" applyAlignment="1">
      <alignment horizontal="center" vertical="center" wrapText="1"/>
    </xf>
    <xf numFmtId="0" fontId="12" fillId="0" borderId="5" xfId="1" applyNumberFormat="1" applyFont="1" applyFill="1" applyBorder="1" applyAlignment="1">
      <alignment horizontal="center" vertical="center" wrapText="1"/>
    </xf>
    <xf numFmtId="0" fontId="12" fillId="0" borderId="16" xfId="1" applyNumberFormat="1" applyFont="1" applyFill="1" applyBorder="1" applyAlignment="1">
      <alignment horizontal="center" vertical="center" wrapText="1"/>
    </xf>
    <xf numFmtId="0" fontId="12" fillId="0" borderId="11" xfId="1" applyNumberFormat="1" applyFont="1" applyFill="1" applyBorder="1" applyAlignment="1">
      <alignment horizontal="center" vertical="center" wrapText="1"/>
    </xf>
    <xf numFmtId="0" fontId="10" fillId="0" borderId="5" xfId="1" applyFont="1" applyFill="1" applyBorder="1" applyAlignment="1">
      <alignment horizontal="center" vertical="center" wrapText="1"/>
    </xf>
    <xf numFmtId="0" fontId="10" fillId="0" borderId="16" xfId="1" applyFont="1" applyFill="1" applyBorder="1" applyAlignment="1">
      <alignment horizontal="center" vertical="center" wrapText="1"/>
    </xf>
    <xf numFmtId="0" fontId="10" fillId="0" borderId="11" xfId="1" applyFont="1" applyFill="1" applyBorder="1" applyAlignment="1">
      <alignment horizontal="center" vertical="center" wrapText="1"/>
    </xf>
    <xf numFmtId="0" fontId="10" fillId="0" borderId="5" xfId="1" applyFont="1" applyFill="1" applyBorder="1" applyAlignment="1">
      <alignment horizontal="center" vertical="center"/>
    </xf>
    <xf numFmtId="0" fontId="10" fillId="0" borderId="11" xfId="1" applyFont="1" applyFill="1" applyBorder="1" applyAlignment="1">
      <alignment horizontal="center" vertical="center"/>
    </xf>
    <xf numFmtId="0" fontId="10" fillId="0" borderId="5" xfId="1" applyFont="1" applyBorder="1" applyAlignment="1">
      <alignment horizontal="center" vertical="center" wrapText="1"/>
    </xf>
    <xf numFmtId="0" fontId="10" fillId="0" borderId="16" xfId="1" applyFont="1" applyBorder="1" applyAlignment="1">
      <alignment horizontal="center" vertical="center" wrapText="1"/>
    </xf>
    <xf numFmtId="0" fontId="10" fillId="0" borderId="11" xfId="1" applyFont="1" applyBorder="1" applyAlignment="1">
      <alignment horizontal="center" vertical="center" wrapText="1"/>
    </xf>
    <xf numFmtId="0" fontId="10" fillId="0" borderId="16" xfId="1" applyFont="1" applyFill="1" applyBorder="1" applyAlignment="1">
      <alignment horizontal="center" vertical="center"/>
    </xf>
    <xf numFmtId="0" fontId="10" fillId="0" borderId="6" xfId="1" applyFont="1" applyFill="1" applyBorder="1" applyAlignment="1">
      <alignment horizontal="center" vertical="center" wrapText="1"/>
    </xf>
    <xf numFmtId="0" fontId="10" fillId="0" borderId="8" xfId="1" applyFont="1" applyFill="1" applyBorder="1" applyAlignment="1">
      <alignment horizontal="center" vertical="center" wrapText="1"/>
    </xf>
    <xf numFmtId="0" fontId="10" fillId="0" borderId="7" xfId="1" applyFont="1" applyFill="1" applyBorder="1" applyAlignment="1">
      <alignment horizontal="center" vertical="center" wrapText="1"/>
    </xf>
    <xf numFmtId="0" fontId="10" fillId="0" borderId="12" xfId="1" applyFont="1" applyFill="1" applyBorder="1" applyAlignment="1">
      <alignment horizontal="center" vertical="center" wrapText="1"/>
    </xf>
    <xf numFmtId="0" fontId="10" fillId="0" borderId="14" xfId="1" applyFont="1" applyFill="1" applyBorder="1" applyAlignment="1">
      <alignment horizontal="center" vertical="center" wrapText="1"/>
    </xf>
    <xf numFmtId="0" fontId="10" fillId="0" borderId="13" xfId="1" applyFont="1" applyFill="1" applyBorder="1" applyAlignment="1">
      <alignment horizontal="center" vertical="center" wrapText="1"/>
    </xf>
    <xf numFmtId="0" fontId="10" fillId="0" borderId="6" xfId="1" applyFont="1" applyBorder="1" applyAlignment="1">
      <alignment horizontal="center" vertical="center" wrapText="1"/>
    </xf>
    <xf numFmtId="0" fontId="10" fillId="0" borderId="8" xfId="1" applyFont="1" applyBorder="1" applyAlignment="1">
      <alignment horizontal="center" vertical="center" wrapText="1"/>
    </xf>
    <xf numFmtId="0" fontId="10" fillId="0" borderId="12" xfId="1" applyFont="1" applyBorder="1" applyAlignment="1">
      <alignment horizontal="center" vertical="center" wrapText="1"/>
    </xf>
    <xf numFmtId="0" fontId="10" fillId="0" borderId="14" xfId="1" applyFont="1" applyBorder="1" applyAlignment="1">
      <alignment horizontal="center" vertical="center" wrapText="1"/>
    </xf>
    <xf numFmtId="0" fontId="10" fillId="0" borderId="7" xfId="1" applyFont="1" applyBorder="1" applyAlignment="1">
      <alignment horizontal="center" vertical="center" wrapText="1"/>
    </xf>
    <xf numFmtId="0" fontId="10" fillId="0" borderId="13" xfId="1" applyFont="1" applyBorder="1" applyAlignment="1">
      <alignment horizontal="center" vertical="center" wrapText="1"/>
    </xf>
    <xf numFmtId="0" fontId="10" fillId="0" borderId="15" xfId="1" applyFont="1" applyBorder="1" applyAlignment="1">
      <alignment horizontal="center" vertical="center" wrapText="1"/>
    </xf>
    <xf numFmtId="0" fontId="10" fillId="0" borderId="5" xfId="1" applyFont="1" applyBorder="1" applyAlignment="1">
      <alignment horizontal="center" vertical="center"/>
    </xf>
    <xf numFmtId="0" fontId="10" fillId="0" borderId="16" xfId="1" applyFont="1" applyBorder="1" applyAlignment="1">
      <alignment horizontal="center" vertical="center"/>
    </xf>
    <xf numFmtId="0" fontId="10" fillId="0" borderId="11" xfId="1" applyFont="1" applyBorder="1" applyAlignment="1">
      <alignment horizontal="center" vertical="center"/>
    </xf>
    <xf numFmtId="0" fontId="10" fillId="0" borderId="9" xfId="1" applyFont="1" applyBorder="1" applyAlignment="1">
      <alignment horizontal="center" vertical="center"/>
    </xf>
    <xf numFmtId="0" fontId="10" fillId="0" borderId="10" xfId="1" applyFont="1" applyBorder="1" applyAlignment="1">
      <alignment horizontal="center" vertical="center"/>
    </xf>
    <xf numFmtId="0" fontId="3" fillId="0" borderId="5" xfId="1" applyFont="1" applyFill="1" applyBorder="1" applyAlignment="1">
      <alignment horizontal="center" vertical="center" wrapText="1"/>
    </xf>
    <xf numFmtId="0" fontId="3" fillId="0" borderId="11" xfId="1" applyFont="1" applyFill="1" applyBorder="1" applyAlignment="1">
      <alignment horizontal="center" vertical="center" wrapText="1"/>
    </xf>
    <xf numFmtId="0" fontId="3" fillId="0" borderId="5" xfId="1" applyFont="1" applyFill="1" applyBorder="1" applyAlignment="1">
      <alignment horizontal="center" vertical="center"/>
    </xf>
    <xf numFmtId="0" fontId="3" fillId="0" borderId="11" xfId="1" applyFont="1" applyFill="1" applyBorder="1" applyAlignment="1">
      <alignment horizontal="center" vertical="center"/>
    </xf>
    <xf numFmtId="0" fontId="6" fillId="0" borderId="0" xfId="0" applyFont="1" applyAlignment="1">
      <alignment horizontal="center" vertical="center"/>
    </xf>
    <xf numFmtId="0" fontId="3" fillId="0" borderId="16" xfId="1" applyFont="1" applyFill="1" applyBorder="1" applyAlignment="1">
      <alignment horizontal="center" vertical="center"/>
    </xf>
    <xf numFmtId="0" fontId="3" fillId="0" borderId="6" xfId="1" applyFont="1" applyFill="1" applyBorder="1" applyAlignment="1">
      <alignment horizontal="center" vertical="center" wrapText="1"/>
    </xf>
    <xf numFmtId="0" fontId="3" fillId="0" borderId="8" xfId="1" applyFont="1" applyFill="1" applyBorder="1" applyAlignment="1">
      <alignment horizontal="center" vertical="center" wrapText="1"/>
    </xf>
    <xf numFmtId="0" fontId="3" fillId="0" borderId="7" xfId="1" applyFont="1" applyFill="1" applyBorder="1" applyAlignment="1">
      <alignment horizontal="center" vertical="center" wrapText="1"/>
    </xf>
    <xf numFmtId="0" fontId="3" fillId="0" borderId="12" xfId="1" applyFont="1" applyFill="1" applyBorder="1" applyAlignment="1">
      <alignment horizontal="center" vertical="center" wrapText="1"/>
    </xf>
    <xf numFmtId="0" fontId="3" fillId="0" borderId="14" xfId="1" applyFont="1" applyFill="1" applyBorder="1" applyAlignment="1">
      <alignment horizontal="center" vertical="center" wrapText="1"/>
    </xf>
    <xf numFmtId="0" fontId="3" fillId="0" borderId="13" xfId="1" applyFont="1" applyFill="1" applyBorder="1" applyAlignment="1">
      <alignment horizontal="center" vertical="center" wrapText="1"/>
    </xf>
    <xf numFmtId="0" fontId="3" fillId="0" borderId="16" xfId="1" applyFont="1" applyFill="1" applyBorder="1" applyAlignment="1">
      <alignment horizontal="center" vertical="center" wrapText="1"/>
    </xf>
    <xf numFmtId="0" fontId="3" fillId="0" borderId="5" xfId="1" applyFont="1" applyBorder="1" applyAlignment="1">
      <alignment horizontal="center" vertical="center" wrapText="1"/>
    </xf>
    <xf numFmtId="0" fontId="3" fillId="0" borderId="16" xfId="1" applyFont="1" applyBorder="1" applyAlignment="1">
      <alignment horizontal="center" vertical="center" wrapText="1"/>
    </xf>
    <xf numFmtId="0" fontId="3" fillId="0" borderId="11" xfId="1" applyFont="1" applyBorder="1" applyAlignment="1">
      <alignment horizontal="center" vertical="center" wrapText="1"/>
    </xf>
    <xf numFmtId="0" fontId="3" fillId="0" borderId="5" xfId="1" applyFont="1" applyBorder="1" applyAlignment="1">
      <alignment horizontal="center"/>
    </xf>
    <xf numFmtId="0" fontId="3" fillId="0" borderId="16" xfId="1" applyFont="1" applyBorder="1" applyAlignment="1">
      <alignment horizontal="center"/>
    </xf>
    <xf numFmtId="0" fontId="3" fillId="0" borderId="11" xfId="1" applyFont="1" applyBorder="1" applyAlignment="1">
      <alignment horizontal="center"/>
    </xf>
    <xf numFmtId="0" fontId="3" fillId="0" borderId="5" xfId="1" applyFont="1" applyBorder="1" applyAlignment="1">
      <alignment horizontal="center" vertical="center"/>
    </xf>
    <xf numFmtId="0" fontId="3" fillId="0" borderId="16" xfId="1" applyFont="1" applyBorder="1" applyAlignment="1">
      <alignment horizontal="center" vertical="center"/>
    </xf>
    <xf numFmtId="0" fontId="3" fillId="0" borderId="11" xfId="1" applyFont="1" applyBorder="1" applyAlignment="1">
      <alignment horizontal="center" vertical="center"/>
    </xf>
    <xf numFmtId="0" fontId="3" fillId="0" borderId="9" xfId="1" applyFont="1" applyBorder="1" applyAlignment="1">
      <alignment horizontal="center" vertical="center"/>
    </xf>
    <xf numFmtId="0" fontId="3" fillId="0" borderId="10" xfId="1" applyFont="1" applyBorder="1" applyAlignment="1">
      <alignment horizontal="center" vertical="center"/>
    </xf>
    <xf numFmtId="0" fontId="3" fillId="0" borderId="0" xfId="0" applyFont="1" applyBorder="1" applyAlignment="1">
      <alignment horizont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3" fillId="0" borderId="12" xfId="1" applyFont="1" applyBorder="1" applyAlignment="1">
      <alignment horizontal="center" vertical="center" wrapText="1"/>
    </xf>
    <xf numFmtId="0" fontId="3" fillId="0" borderId="14" xfId="1" applyFont="1" applyBorder="1" applyAlignment="1">
      <alignment horizontal="center" vertical="center" wrapText="1"/>
    </xf>
    <xf numFmtId="0" fontId="3" fillId="0" borderId="7" xfId="1" applyFont="1" applyBorder="1" applyAlignment="1">
      <alignment horizontal="center" vertical="center" wrapText="1"/>
    </xf>
    <xf numFmtId="0" fontId="3" fillId="0" borderId="13" xfId="1" applyFont="1" applyBorder="1" applyAlignment="1">
      <alignment horizontal="center" vertical="center" wrapText="1"/>
    </xf>
    <xf numFmtId="0" fontId="3" fillId="0" borderId="15" xfId="1" applyFont="1" applyBorder="1" applyAlignment="1">
      <alignment horizontal="center" vertical="center" wrapText="1"/>
    </xf>
    <xf numFmtId="0" fontId="6" fillId="0" borderId="0" xfId="0" applyFont="1" applyAlignment="1">
      <alignment horizontal="center"/>
    </xf>
    <xf numFmtId="0" fontId="24" fillId="0" borderId="0" xfId="0" applyFont="1" applyBorder="1" applyAlignment="1">
      <alignment horizontal="center"/>
    </xf>
    <xf numFmtId="0" fontId="24" fillId="0" borderId="0" xfId="0" applyFont="1" applyFill="1" applyBorder="1" applyAlignment="1">
      <alignment horizontal="center"/>
    </xf>
    <xf numFmtId="2" fontId="24" fillId="0" borderId="0" xfId="0" applyNumberFormat="1" applyFont="1" applyBorder="1" applyAlignment="1">
      <alignment horizontal="center"/>
    </xf>
    <xf numFmtId="178" fontId="6" fillId="0" borderId="0" xfId="0" applyNumberFormat="1" applyFont="1" applyAlignment="1">
      <alignment horizontal="left" vertical="center"/>
    </xf>
    <xf numFmtId="176" fontId="3" fillId="0" borderId="0" xfId="0" applyNumberFormat="1" applyFont="1" applyBorder="1" applyAlignment="1">
      <alignment horizontal="left"/>
    </xf>
  </cellXfs>
  <cellStyles count="3">
    <cellStyle name="標準" xfId="0" builtinId="0"/>
    <cellStyle name="標準 2" xfId="1" xr:uid="{CE5FE3EE-15D7-4877-872A-B2CAC8154051}"/>
    <cellStyle name="標準 3" xfId="2" xr:uid="{4E3C6E7A-9372-4A6B-B824-276A4A6920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externalLink" Target="externalLinks/externalLink9.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sharedStrings" Target="sharedStrings.xml"/><Relationship Id="rId10" Type="http://schemas.openxmlformats.org/officeDocument/2006/relationships/externalLink" Target="externalLinks/externalLink7.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47625</xdr:rowOff>
        </xdr:from>
        <xdr:to>
          <xdr:col>9</xdr:col>
          <xdr:colOff>542925</xdr:colOff>
          <xdr:row>3</xdr:row>
          <xdr:rowOff>114300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MS UI Gothic"/>
                  <a:ea typeface="MS UI Gothic"/>
                </a:rPr>
                <a:t>概略図</a:t>
              </a:r>
            </a:p>
          </xdr:txBody>
        </xdr:sp>
        <xdr:clientData fPrintsWithSheet="0"/>
      </xdr:twoCellAnchor>
    </mc:Choice>
    <mc:Fallback/>
  </mc:AlternateContent>
  <xdr:twoCellAnchor>
    <xdr:from>
      <xdr:col>6</xdr:col>
      <xdr:colOff>0</xdr:colOff>
      <xdr:row>13</xdr:row>
      <xdr:rowOff>34608</xdr:rowOff>
    </xdr:from>
    <xdr:to>
      <xdr:col>11</xdr:col>
      <xdr:colOff>0</xdr:colOff>
      <xdr:row>13</xdr:row>
      <xdr:rowOff>34608</xdr:rowOff>
    </xdr:to>
    <xdr:cxnSp macro="">
      <xdr:nvCxnSpPr>
        <xdr:cNvPr id="4541" name="直線矢印コネクタ 4540">
          <a:extLst>
            <a:ext uri="{FF2B5EF4-FFF2-40B4-BE49-F238E27FC236}">
              <a16:creationId xmlns:a16="http://schemas.microsoft.com/office/drawing/2014/main" id="{00000000-0008-0000-0100-0000BD110000}"/>
            </a:ext>
          </a:extLst>
        </xdr:cNvPr>
        <xdr:cNvCxnSpPr/>
      </xdr:nvCxnSpPr>
      <xdr:spPr>
        <a:xfrm>
          <a:off x="3009900" y="2387283"/>
          <a:ext cx="2809875"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xdr:row>
      <xdr:rowOff>12383</xdr:rowOff>
    </xdr:from>
    <xdr:to>
      <xdr:col>7</xdr:col>
      <xdr:colOff>73025</xdr:colOff>
      <xdr:row>13</xdr:row>
      <xdr:rowOff>85408</xdr:rowOff>
    </xdr:to>
    <xdr:sp macro="" textlink="">
      <xdr:nvSpPr>
        <xdr:cNvPr id="4542" name="textboxt2">
          <a:extLst>
            <a:ext uri="{FF2B5EF4-FFF2-40B4-BE49-F238E27FC236}">
              <a16:creationId xmlns:a16="http://schemas.microsoft.com/office/drawing/2014/main" id="{00000000-0008-0000-0100-0000BE110000}"/>
            </a:ext>
          </a:extLst>
        </xdr:cNvPr>
        <xdr:cNvSpPr txBox="1"/>
      </xdr:nvSpPr>
      <xdr:spPr>
        <a:xfrm>
          <a:off x="3009900" y="2184083"/>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▽GL</a:t>
          </a:r>
          <a:endParaRPr kumimoji="1" lang="ja-JP" altLang="en-US" sz="1100"/>
        </a:p>
      </xdr:txBody>
    </xdr:sp>
    <xdr:clientData/>
  </xdr:twoCellAnchor>
  <xdr:twoCellAnchor>
    <xdr:from>
      <xdr:col>7</xdr:col>
      <xdr:colOff>127159</xdr:colOff>
      <xdr:row>5</xdr:row>
      <xdr:rowOff>44450</xdr:rowOff>
    </xdr:from>
    <xdr:to>
      <xdr:col>11</xdr:col>
      <xdr:colOff>0</xdr:colOff>
      <xdr:row>5</xdr:row>
      <xdr:rowOff>44450</xdr:rowOff>
    </xdr:to>
    <xdr:cxnSp macro="">
      <xdr:nvCxnSpPr>
        <xdr:cNvPr id="4543" name="直線矢印コネクタ 4542">
          <a:extLst>
            <a:ext uri="{FF2B5EF4-FFF2-40B4-BE49-F238E27FC236}">
              <a16:creationId xmlns:a16="http://schemas.microsoft.com/office/drawing/2014/main" id="{00000000-0008-0000-0100-0000BF110000}"/>
            </a:ext>
          </a:extLst>
        </xdr:cNvPr>
        <xdr:cNvCxnSpPr/>
      </xdr:nvCxnSpPr>
      <xdr:spPr>
        <a:xfrm>
          <a:off x="3699034" y="949325"/>
          <a:ext cx="2120741"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16</xdr:row>
      <xdr:rowOff>107950</xdr:rowOff>
    </xdr:from>
    <xdr:to>
      <xdr:col>8</xdr:col>
      <xdr:colOff>489585</xdr:colOff>
      <xdr:row>16</xdr:row>
      <xdr:rowOff>107950</xdr:rowOff>
    </xdr:to>
    <xdr:cxnSp macro="">
      <xdr:nvCxnSpPr>
        <xdr:cNvPr id="4544" name="直線矢印コネクタ 4543">
          <a:extLst>
            <a:ext uri="{FF2B5EF4-FFF2-40B4-BE49-F238E27FC236}">
              <a16:creationId xmlns:a16="http://schemas.microsoft.com/office/drawing/2014/main" id="{00000000-0008-0000-0100-0000C0110000}"/>
            </a:ext>
          </a:extLst>
        </xdr:cNvPr>
        <xdr:cNvCxnSpPr/>
      </xdr:nvCxnSpPr>
      <xdr:spPr>
        <a:xfrm>
          <a:off x="3390900" y="3003550"/>
          <a:ext cx="1232535"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16510</xdr:colOff>
      <xdr:row>13</xdr:row>
      <xdr:rowOff>79375</xdr:rowOff>
    </xdr:from>
    <xdr:to>
      <xdr:col>9</xdr:col>
      <xdr:colOff>270510</xdr:colOff>
      <xdr:row>16</xdr:row>
      <xdr:rowOff>171450</xdr:rowOff>
    </xdr:to>
    <xdr:sp macro="" textlink="">
      <xdr:nvSpPr>
        <xdr:cNvPr id="4545" name="textboxDf">
          <a:extLst>
            <a:ext uri="{FF2B5EF4-FFF2-40B4-BE49-F238E27FC236}">
              <a16:creationId xmlns:a16="http://schemas.microsoft.com/office/drawing/2014/main" id="{00000000-0008-0000-0100-0000C1110000}"/>
            </a:ext>
          </a:extLst>
        </xdr:cNvPr>
        <xdr:cNvSpPr txBox="1"/>
      </xdr:nvSpPr>
      <xdr:spPr>
        <a:xfrm rot="16200000">
          <a:off x="4521835" y="2622550"/>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Df=0.3</a:t>
          </a:r>
          <a:endParaRPr kumimoji="1" lang="ja-JP" altLang="en-US" sz="1100"/>
        </a:p>
      </xdr:txBody>
    </xdr:sp>
    <xdr:clientData/>
  </xdr:twoCellAnchor>
  <xdr:twoCellAnchor>
    <xdr:from>
      <xdr:col>9</xdr:col>
      <xdr:colOff>245110</xdr:colOff>
      <xdr:row>13</xdr:row>
      <xdr:rowOff>34608</xdr:rowOff>
    </xdr:from>
    <xdr:to>
      <xdr:col>9</xdr:col>
      <xdr:colOff>245110</xdr:colOff>
      <xdr:row>16</xdr:row>
      <xdr:rowOff>107950</xdr:rowOff>
    </xdr:to>
    <xdr:cxnSp macro="">
      <xdr:nvCxnSpPr>
        <xdr:cNvPr id="4546" name="直線矢印コネクタ 4545">
          <a:extLst>
            <a:ext uri="{FF2B5EF4-FFF2-40B4-BE49-F238E27FC236}">
              <a16:creationId xmlns:a16="http://schemas.microsoft.com/office/drawing/2014/main" id="{00000000-0008-0000-0100-0000C2110000}"/>
            </a:ext>
          </a:extLst>
        </xdr:cNvPr>
        <xdr:cNvCxnSpPr/>
      </xdr:nvCxnSpPr>
      <xdr:spPr>
        <a:xfrm flipV="1">
          <a:off x="4940935" y="2387283"/>
          <a:ext cx="0" cy="61626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14</xdr:row>
      <xdr:rowOff>161766</xdr:rowOff>
    </xdr:from>
    <xdr:to>
      <xdr:col>6</xdr:col>
      <xdr:colOff>381000</xdr:colOff>
      <xdr:row>16</xdr:row>
      <xdr:rowOff>107950</xdr:rowOff>
    </xdr:to>
    <xdr:cxnSp macro="">
      <xdr:nvCxnSpPr>
        <xdr:cNvPr id="4547" name="直線矢印コネクタ 4546">
          <a:extLst>
            <a:ext uri="{FF2B5EF4-FFF2-40B4-BE49-F238E27FC236}">
              <a16:creationId xmlns:a16="http://schemas.microsoft.com/office/drawing/2014/main" id="{00000000-0008-0000-0100-0000C3110000}"/>
            </a:ext>
          </a:extLst>
        </xdr:cNvPr>
        <xdr:cNvCxnSpPr/>
      </xdr:nvCxnSpPr>
      <xdr:spPr>
        <a:xfrm flipV="1">
          <a:off x="3390900" y="2695416"/>
          <a:ext cx="0" cy="3081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307975</xdr:colOff>
      <xdr:row>15</xdr:row>
      <xdr:rowOff>98425</xdr:rowOff>
    </xdr:from>
    <xdr:to>
      <xdr:col>6</xdr:col>
      <xdr:colOff>381000</xdr:colOff>
      <xdr:row>16</xdr:row>
      <xdr:rowOff>171450</xdr:rowOff>
    </xdr:to>
    <xdr:sp macro="" textlink="">
      <xdr:nvSpPr>
        <xdr:cNvPr id="4548" name="textbox01">
          <a:extLst>
            <a:ext uri="{FF2B5EF4-FFF2-40B4-BE49-F238E27FC236}">
              <a16:creationId xmlns:a16="http://schemas.microsoft.com/office/drawing/2014/main" id="{00000000-0008-0000-0100-0000C4110000}"/>
            </a:ext>
          </a:extLst>
        </xdr:cNvPr>
        <xdr:cNvSpPr txBox="1"/>
      </xdr:nvSpPr>
      <xdr:spPr>
        <a:xfrm>
          <a:off x="2755900" y="2813050"/>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t1=0.15</a:t>
          </a:r>
          <a:endParaRPr kumimoji="1" lang="ja-JP" altLang="en-US" sz="1100"/>
        </a:p>
      </xdr:txBody>
    </xdr:sp>
    <xdr:clientData/>
  </xdr:twoCellAnchor>
  <xdr:twoCellAnchor>
    <xdr:from>
      <xdr:col>8</xdr:col>
      <xdr:colOff>489585</xdr:colOff>
      <xdr:row>14</xdr:row>
      <xdr:rowOff>161766</xdr:rowOff>
    </xdr:from>
    <xdr:to>
      <xdr:col>8</xdr:col>
      <xdr:colOff>489585</xdr:colOff>
      <xdr:row>16</xdr:row>
      <xdr:rowOff>107950</xdr:rowOff>
    </xdr:to>
    <xdr:cxnSp macro="">
      <xdr:nvCxnSpPr>
        <xdr:cNvPr id="4549" name="直線矢印コネクタ 4548">
          <a:extLst>
            <a:ext uri="{FF2B5EF4-FFF2-40B4-BE49-F238E27FC236}">
              <a16:creationId xmlns:a16="http://schemas.microsoft.com/office/drawing/2014/main" id="{00000000-0008-0000-0100-0000C5110000}"/>
            </a:ext>
          </a:extLst>
        </xdr:cNvPr>
        <xdr:cNvCxnSpPr/>
      </xdr:nvCxnSpPr>
      <xdr:spPr>
        <a:xfrm flipV="1">
          <a:off x="4623435" y="2695416"/>
          <a:ext cx="0" cy="3081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14</xdr:row>
      <xdr:rowOff>161766</xdr:rowOff>
    </xdr:from>
    <xdr:to>
      <xdr:col>6</xdr:col>
      <xdr:colOff>381000</xdr:colOff>
      <xdr:row>14</xdr:row>
      <xdr:rowOff>161766</xdr:rowOff>
    </xdr:to>
    <xdr:cxnSp macro="">
      <xdr:nvCxnSpPr>
        <xdr:cNvPr id="4550" name="直線矢印コネクタ 4549">
          <a:extLst>
            <a:ext uri="{FF2B5EF4-FFF2-40B4-BE49-F238E27FC236}">
              <a16:creationId xmlns:a16="http://schemas.microsoft.com/office/drawing/2014/main" id="{00000000-0008-0000-0100-0000C6110000}"/>
            </a:ext>
          </a:extLst>
        </xdr:cNvPr>
        <xdr:cNvCxnSpPr/>
      </xdr:nvCxnSpPr>
      <xdr:spPr>
        <a:xfrm>
          <a:off x="3390900" y="2695416"/>
          <a:ext cx="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127159</xdr:colOff>
      <xdr:row>14</xdr:row>
      <xdr:rowOff>161766</xdr:rowOff>
    </xdr:from>
    <xdr:to>
      <xdr:col>8</xdr:col>
      <xdr:colOff>489585</xdr:colOff>
      <xdr:row>14</xdr:row>
      <xdr:rowOff>161766</xdr:rowOff>
    </xdr:to>
    <xdr:cxnSp macro="">
      <xdr:nvCxnSpPr>
        <xdr:cNvPr id="4551" name="直線矢印コネクタ 4550">
          <a:extLst>
            <a:ext uri="{FF2B5EF4-FFF2-40B4-BE49-F238E27FC236}">
              <a16:creationId xmlns:a16="http://schemas.microsoft.com/office/drawing/2014/main" id="{00000000-0008-0000-0100-0000C7110000}"/>
            </a:ext>
          </a:extLst>
        </xdr:cNvPr>
        <xdr:cNvCxnSpPr/>
      </xdr:nvCxnSpPr>
      <xdr:spPr>
        <a:xfrm flipH="1">
          <a:off x="3699034" y="2695416"/>
          <a:ext cx="924401"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5</xdr:row>
      <xdr:rowOff>44450</xdr:rowOff>
    </xdr:from>
    <xdr:to>
      <xdr:col>6</xdr:col>
      <xdr:colOff>381000</xdr:colOff>
      <xdr:row>14</xdr:row>
      <xdr:rowOff>161766</xdr:rowOff>
    </xdr:to>
    <xdr:cxnSp macro="">
      <xdr:nvCxnSpPr>
        <xdr:cNvPr id="4552" name="直線矢印コネクタ 4551">
          <a:extLst>
            <a:ext uri="{FF2B5EF4-FFF2-40B4-BE49-F238E27FC236}">
              <a16:creationId xmlns:a16="http://schemas.microsoft.com/office/drawing/2014/main" id="{00000000-0008-0000-0100-0000C8110000}"/>
            </a:ext>
          </a:extLst>
        </xdr:cNvPr>
        <xdr:cNvCxnSpPr/>
      </xdr:nvCxnSpPr>
      <xdr:spPr>
        <a:xfrm flipV="1">
          <a:off x="3390900" y="949325"/>
          <a:ext cx="0" cy="174609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127159</xdr:colOff>
      <xdr:row>5</xdr:row>
      <xdr:rowOff>44450</xdr:rowOff>
    </xdr:from>
    <xdr:to>
      <xdr:col>7</xdr:col>
      <xdr:colOff>127159</xdr:colOff>
      <xdr:row>14</xdr:row>
      <xdr:rowOff>161766</xdr:rowOff>
    </xdr:to>
    <xdr:cxnSp macro="">
      <xdr:nvCxnSpPr>
        <xdr:cNvPr id="4553" name="直線矢印コネクタ 4552">
          <a:extLst>
            <a:ext uri="{FF2B5EF4-FFF2-40B4-BE49-F238E27FC236}">
              <a16:creationId xmlns:a16="http://schemas.microsoft.com/office/drawing/2014/main" id="{00000000-0008-0000-0100-0000C9110000}"/>
            </a:ext>
          </a:extLst>
        </xdr:cNvPr>
        <xdr:cNvCxnSpPr/>
      </xdr:nvCxnSpPr>
      <xdr:spPr>
        <a:xfrm flipV="1">
          <a:off x="3699034" y="949325"/>
          <a:ext cx="0" cy="174609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244475</xdr:colOff>
      <xdr:row>9</xdr:row>
      <xdr:rowOff>93663</xdr:rowOff>
    </xdr:from>
    <xdr:to>
      <xdr:col>10</xdr:col>
      <xdr:colOff>498475</xdr:colOff>
      <xdr:row>13</xdr:row>
      <xdr:rowOff>4763</xdr:rowOff>
    </xdr:to>
    <xdr:sp macro="" textlink="">
      <xdr:nvSpPr>
        <xdr:cNvPr id="4554" name="textboxH">
          <a:extLst>
            <a:ext uri="{FF2B5EF4-FFF2-40B4-BE49-F238E27FC236}">
              <a16:creationId xmlns:a16="http://schemas.microsoft.com/office/drawing/2014/main" id="{00000000-0008-0000-0100-0000CA110000}"/>
            </a:ext>
          </a:extLst>
        </xdr:cNvPr>
        <xdr:cNvSpPr txBox="1"/>
      </xdr:nvSpPr>
      <xdr:spPr>
        <a:xfrm rot="16200000">
          <a:off x="5311775" y="1912938"/>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 H=1</a:t>
          </a:r>
          <a:endParaRPr kumimoji="1" lang="ja-JP" altLang="en-US" sz="1100"/>
        </a:p>
      </xdr:txBody>
    </xdr:sp>
    <xdr:clientData/>
  </xdr:twoCellAnchor>
  <xdr:twoCellAnchor>
    <xdr:from>
      <xdr:col>10</xdr:col>
      <xdr:colOff>536575</xdr:colOff>
      <xdr:row>5</xdr:row>
      <xdr:rowOff>44450</xdr:rowOff>
    </xdr:from>
    <xdr:to>
      <xdr:col>10</xdr:col>
      <xdr:colOff>536575</xdr:colOff>
      <xdr:row>16</xdr:row>
      <xdr:rowOff>107950</xdr:rowOff>
    </xdr:to>
    <xdr:cxnSp macro="">
      <xdr:nvCxnSpPr>
        <xdr:cNvPr id="4555" name="直線矢印コネクタ 4554">
          <a:extLst>
            <a:ext uri="{FF2B5EF4-FFF2-40B4-BE49-F238E27FC236}">
              <a16:creationId xmlns:a16="http://schemas.microsoft.com/office/drawing/2014/main" id="{00000000-0008-0000-0100-0000CB110000}"/>
            </a:ext>
          </a:extLst>
        </xdr:cNvPr>
        <xdr:cNvCxnSpPr/>
      </xdr:nvCxnSpPr>
      <xdr:spPr>
        <a:xfrm flipV="1">
          <a:off x="5794375" y="949325"/>
          <a:ext cx="0" cy="205422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553085</xdr:colOff>
      <xdr:row>16</xdr:row>
      <xdr:rowOff>107950</xdr:rowOff>
    </xdr:from>
    <xdr:to>
      <xdr:col>10</xdr:col>
      <xdr:colOff>536575</xdr:colOff>
      <xdr:row>16</xdr:row>
      <xdr:rowOff>107950</xdr:rowOff>
    </xdr:to>
    <xdr:cxnSp macro="">
      <xdr:nvCxnSpPr>
        <xdr:cNvPr id="4556" name="直線矢印コネクタ 4555">
          <a:extLst>
            <a:ext uri="{FF2B5EF4-FFF2-40B4-BE49-F238E27FC236}">
              <a16:creationId xmlns:a16="http://schemas.microsoft.com/office/drawing/2014/main" id="{00000000-0008-0000-0100-0000CC110000}"/>
            </a:ext>
          </a:extLst>
        </xdr:cNvPr>
        <xdr:cNvCxnSpPr/>
      </xdr:nvCxnSpPr>
      <xdr:spPr>
        <a:xfrm>
          <a:off x="4686935" y="3003550"/>
          <a:ext cx="110744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18</xdr:row>
      <xdr:rowOff>0</xdr:rowOff>
    </xdr:from>
    <xdr:to>
      <xdr:col>8</xdr:col>
      <xdr:colOff>489585</xdr:colOff>
      <xdr:row>18</xdr:row>
      <xdr:rowOff>0</xdr:rowOff>
    </xdr:to>
    <xdr:cxnSp macro="">
      <xdr:nvCxnSpPr>
        <xdr:cNvPr id="4557" name="直線矢印コネクタ 4556">
          <a:extLst>
            <a:ext uri="{FF2B5EF4-FFF2-40B4-BE49-F238E27FC236}">
              <a16:creationId xmlns:a16="http://schemas.microsoft.com/office/drawing/2014/main" id="{00000000-0008-0000-0100-0000CD110000}"/>
            </a:ext>
          </a:extLst>
        </xdr:cNvPr>
        <xdr:cNvCxnSpPr/>
      </xdr:nvCxnSpPr>
      <xdr:spPr>
        <a:xfrm>
          <a:off x="3390900" y="3257550"/>
          <a:ext cx="1232535"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16</xdr:row>
      <xdr:rowOff>171450</xdr:rowOff>
    </xdr:from>
    <xdr:to>
      <xdr:col>6</xdr:col>
      <xdr:colOff>381000</xdr:colOff>
      <xdr:row>18</xdr:row>
      <xdr:rowOff>12700</xdr:rowOff>
    </xdr:to>
    <xdr:cxnSp macro="">
      <xdr:nvCxnSpPr>
        <xdr:cNvPr id="4558" name="直線矢印コネクタ 4557">
          <a:extLst>
            <a:ext uri="{FF2B5EF4-FFF2-40B4-BE49-F238E27FC236}">
              <a16:creationId xmlns:a16="http://schemas.microsoft.com/office/drawing/2014/main" id="{00000000-0008-0000-0100-0000CE110000}"/>
            </a:ext>
          </a:extLst>
        </xdr:cNvPr>
        <xdr:cNvCxnSpPr/>
      </xdr:nvCxnSpPr>
      <xdr:spPr>
        <a:xfrm flipV="1">
          <a:off x="3390900" y="3067050"/>
          <a:ext cx="0" cy="2032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489585</xdr:colOff>
      <xdr:row>16</xdr:row>
      <xdr:rowOff>171450</xdr:rowOff>
    </xdr:from>
    <xdr:to>
      <xdr:col>8</xdr:col>
      <xdr:colOff>489585</xdr:colOff>
      <xdr:row>18</xdr:row>
      <xdr:rowOff>12700</xdr:rowOff>
    </xdr:to>
    <xdr:cxnSp macro="">
      <xdr:nvCxnSpPr>
        <xdr:cNvPr id="4559" name="直線矢印コネクタ 4558">
          <a:extLst>
            <a:ext uri="{FF2B5EF4-FFF2-40B4-BE49-F238E27FC236}">
              <a16:creationId xmlns:a16="http://schemas.microsoft.com/office/drawing/2014/main" id="{00000000-0008-0000-0100-0000CF110000}"/>
            </a:ext>
          </a:extLst>
        </xdr:cNvPr>
        <xdr:cNvCxnSpPr/>
      </xdr:nvCxnSpPr>
      <xdr:spPr>
        <a:xfrm flipV="1">
          <a:off x="4623435" y="3067050"/>
          <a:ext cx="0" cy="2032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229870</xdr:colOff>
      <xdr:row>16</xdr:row>
      <xdr:rowOff>171450</xdr:rowOff>
    </xdr:from>
    <xdr:to>
      <xdr:col>8</xdr:col>
      <xdr:colOff>302895</xdr:colOff>
      <xdr:row>18</xdr:row>
      <xdr:rowOff>63500</xdr:rowOff>
    </xdr:to>
    <xdr:sp macro="" textlink="">
      <xdr:nvSpPr>
        <xdr:cNvPr id="4560" name="textboxB">
          <a:extLst>
            <a:ext uri="{FF2B5EF4-FFF2-40B4-BE49-F238E27FC236}">
              <a16:creationId xmlns:a16="http://schemas.microsoft.com/office/drawing/2014/main" id="{00000000-0008-0000-0100-0000D0110000}"/>
            </a:ext>
          </a:extLst>
        </xdr:cNvPr>
        <xdr:cNvSpPr txBox="1"/>
      </xdr:nvSpPr>
      <xdr:spPr>
        <a:xfrm>
          <a:off x="3801745" y="3067050"/>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B=0.6</a:t>
          </a:r>
          <a:endParaRPr kumimoji="1" lang="ja-JP" altLang="en-US" sz="1100"/>
        </a:p>
      </xdr:txBody>
    </xdr:sp>
    <xdr:clientData/>
  </xdr:twoCellAnchor>
  <xdr:twoCellAnchor>
    <xdr:from>
      <xdr:col>6</xdr:col>
      <xdr:colOff>381000</xdr:colOff>
      <xdr:row>5</xdr:row>
      <xdr:rowOff>44450</xdr:rowOff>
    </xdr:from>
    <xdr:to>
      <xdr:col>7</xdr:col>
      <xdr:colOff>127159</xdr:colOff>
      <xdr:row>5</xdr:row>
      <xdr:rowOff>44450</xdr:rowOff>
    </xdr:to>
    <xdr:cxnSp macro="">
      <xdr:nvCxnSpPr>
        <xdr:cNvPr id="4561" name="直線矢印コネクタ 4560">
          <a:extLst>
            <a:ext uri="{FF2B5EF4-FFF2-40B4-BE49-F238E27FC236}">
              <a16:creationId xmlns:a16="http://schemas.microsoft.com/office/drawing/2014/main" id="{00000000-0008-0000-0100-0000D1110000}"/>
            </a:ext>
          </a:extLst>
        </xdr:cNvPr>
        <xdr:cNvCxnSpPr/>
      </xdr:nvCxnSpPr>
      <xdr:spPr>
        <a:xfrm>
          <a:off x="3390900" y="949325"/>
          <a:ext cx="308134"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381000</xdr:colOff>
      <xdr:row>3</xdr:row>
      <xdr:rowOff>152400</xdr:rowOff>
    </xdr:from>
    <xdr:to>
      <xdr:col>7</xdr:col>
      <xdr:colOff>454025</xdr:colOff>
      <xdr:row>5</xdr:row>
      <xdr:rowOff>44450</xdr:rowOff>
    </xdr:to>
    <xdr:sp macro="" textlink="">
      <xdr:nvSpPr>
        <xdr:cNvPr id="4562" name="textboxt2">
          <a:extLst>
            <a:ext uri="{FF2B5EF4-FFF2-40B4-BE49-F238E27FC236}">
              <a16:creationId xmlns:a16="http://schemas.microsoft.com/office/drawing/2014/main" id="{00000000-0008-0000-0100-0000D2110000}"/>
            </a:ext>
          </a:extLst>
        </xdr:cNvPr>
        <xdr:cNvSpPr txBox="1"/>
      </xdr:nvSpPr>
      <xdr:spPr>
        <a:xfrm>
          <a:off x="3390900" y="695325"/>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t2=0.15</a:t>
          </a:r>
          <a:endParaRPr kumimoji="1" lang="ja-JP" altLang="en-US" sz="1100"/>
        </a:p>
      </xdr:txBody>
    </xdr:sp>
    <xdr:clientData/>
  </xdr:twoCellAnchor>
  <xdr:twoCellAnchor>
    <xdr:from>
      <xdr:col>5</xdr:col>
      <xdr:colOff>307975</xdr:colOff>
      <xdr:row>13</xdr:row>
      <xdr:rowOff>152241</xdr:rowOff>
    </xdr:from>
    <xdr:to>
      <xdr:col>6</xdr:col>
      <xdr:colOff>381000</xdr:colOff>
      <xdr:row>15</xdr:row>
      <xdr:rowOff>44291</xdr:rowOff>
    </xdr:to>
    <xdr:sp macro="" textlink="">
      <xdr:nvSpPr>
        <xdr:cNvPr id="4563" name="textboxt3">
          <a:extLst>
            <a:ext uri="{FF2B5EF4-FFF2-40B4-BE49-F238E27FC236}">
              <a16:creationId xmlns:a16="http://schemas.microsoft.com/office/drawing/2014/main" id="{00000000-0008-0000-0100-0000D3110000}"/>
            </a:ext>
          </a:extLst>
        </xdr:cNvPr>
        <xdr:cNvSpPr txBox="1"/>
      </xdr:nvSpPr>
      <xdr:spPr>
        <a:xfrm>
          <a:off x="2755900" y="2504916"/>
          <a:ext cx="63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rgbClr xmlns:mc="http://schemas.openxmlformats.org/markup-compatibility/2006" val="000000" mc:Ignorable="a14" a14:legacySpreadsheetColorIndex="8"/>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en-US" altLang="ja-JP" sz="1100"/>
            <a:t>0.15=t3</a:t>
          </a:r>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7083;&#36896;&#27010;&#35201;SI_02N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ihin1\D\PROJECT\&#23492;&#26847;&#25913;&#21892;\&#27083;&#36896;&#35336;&#31639;&#26360;&#20849;&#29992;\&#36890;&#36948;&#29992;&#35336;&#31639;&#26360;\EXCELDAT\F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yDocu/&#27010;&#31639;&#12456;&#12463;&#12475;&#12523;/&#37444;&#3959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eihin\h\PROJECT\&#23492;&#26847;&#25913;&#21892;\&#65298;&#38542;&#24314;\&#27083;&#36896;&#22259;\&#35336;&#31639;&#26360;&#20849;&#29992;\EXCELDAT\F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qlsrv-70\project3\&#36196;&#12385;&#12419;&#12435;&#26412;&#33303;\&#20181;&#27096;&#26360;\&#65290;&#65298;&#65298;&#65296;&#26356;&#26032;&#23550;&#35937;&#32773;&#20986;&#21147;\&#65296;&#65296;&#20181;&#27096;&#2636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cg-u1\shareddocs\Koizumi\03&#21830;&#21697;&#24773;&#22577;&#31649;&#29702;\01&#21463;&#38936;&#36039;&#26009;\&#12507;&#12473;&#12488;&#12392;&#21508;&#12471;&#12473;&#12486;&#12512;&#12398;&#36899;&#25658;(030609&#26283;&#23450;&#29256;).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p045195\i-&#12381;&#12398;&#20182;\&#12501;&#12524;&#12473;&#12488;&#12471;&#12522;&#12540;&#12474;\&#12501;&#12524;&#12473;&#12488;&#27161;&#28310;\&#35336;&#31639;&#26360;\H&#22522;&#30990;_ver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Xc13_1\a\&#20303;&#21830;&#12486;&#12461;&#12473;&#12479;&#12452;&#12523;\&#30011;&#38754;&#12524;&#12452;&#12450;&#12454;&#12488;\&#65305;&#65298;&#65301;&#33655;&#20027;&#37096;&#35506;&#12467;&#12540;&#12489;&#23550;&#24540;&#12510;&#12473;&#12479;&#12522;&#12473;&#12488;&#20316;&#251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27083;&#36896;&#12481;&#12540;&#12512;\&#12471;&#12473;&#12486;&#12512;&#35069;&#21697;&#27083;&#36896;&#35336;&#31639;&#26360;\DLG06_&#35336;&#31639;&#26360;_A1&#29256;\K06_A1b-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解説"/>
      <sheetName val="変更履歴"/>
      <sheetName val="概要書表紙"/>
      <sheetName val="P1-P2"/>
      <sheetName val="P3-P4"/>
      <sheetName val="P5-P6"/>
      <sheetName val="P7-P8"/>
      <sheetName val="P9-P10"/>
      <sheetName val="P11-P12"/>
      <sheetName val="計算書表紙"/>
      <sheetName val="計P1-2"/>
      <sheetName val="計P3-4"/>
      <sheetName val="計P5-6"/>
      <sheetName val="計P7-8"/>
      <sheetName val="設計方針"/>
      <sheetName val="仕様"/>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56">
          <cell r="B56">
            <v>2</v>
          </cell>
          <cell r="F56">
            <v>56.3</v>
          </cell>
          <cell r="G56">
            <v>135.19999999999999</v>
          </cell>
        </row>
        <row r="57">
          <cell r="B57">
            <v>1</v>
          </cell>
          <cell r="F57">
            <v>328.3</v>
          </cell>
          <cell r="G57">
            <v>656.7</v>
          </cell>
        </row>
        <row r="58">
          <cell r="B58" t="str">
            <v xml:space="preserve"> </v>
          </cell>
        </row>
        <row r="59">
          <cell r="B59" t="str">
            <v xml:space="preserve"> </v>
          </cell>
        </row>
        <row r="60">
          <cell r="B60" t="str">
            <v xml:space="preserve"> </v>
          </cell>
        </row>
        <row r="61">
          <cell r="B61" t="str">
            <v xml:space="preserve"> </v>
          </cell>
        </row>
        <row r="62">
          <cell r="B62" t="str">
            <v xml:space="preserve"> </v>
          </cell>
        </row>
      </sheetData>
      <sheetData sheetId="9" refreshError="1"/>
      <sheetData sheetId="10" refreshError="1"/>
      <sheetData sheetId="11" refreshError="1">
        <row r="89">
          <cell r="E89" t="str">
            <v>1</v>
          </cell>
          <cell r="F89" t="str">
            <v>住宅の居室，以外の寝室</v>
          </cell>
          <cell r="I89">
            <v>1800</v>
          </cell>
          <cell r="J89">
            <v>1550</v>
          </cell>
          <cell r="K89">
            <v>1300</v>
          </cell>
          <cell r="L89">
            <v>600</v>
          </cell>
        </row>
        <row r="90">
          <cell r="E90">
            <v>2</v>
          </cell>
          <cell r="F90" t="str">
            <v>事務室</v>
          </cell>
          <cell r="I90">
            <v>2900</v>
          </cell>
          <cell r="J90">
            <v>2350</v>
          </cell>
          <cell r="K90">
            <v>1800</v>
          </cell>
          <cell r="L90">
            <v>800</v>
          </cell>
        </row>
        <row r="91">
          <cell r="E91">
            <v>3</v>
          </cell>
          <cell r="F91" t="str">
            <v>教室</v>
          </cell>
          <cell r="I91">
            <v>2300</v>
          </cell>
          <cell r="J91">
            <v>2200</v>
          </cell>
          <cell r="K91">
            <v>2100</v>
          </cell>
          <cell r="L91">
            <v>1100</v>
          </cell>
        </row>
        <row r="92">
          <cell r="E92">
            <v>4</v>
          </cell>
          <cell r="F92" t="str">
            <v>百貨店，店舗</v>
          </cell>
          <cell r="I92">
            <v>2900</v>
          </cell>
          <cell r="J92">
            <v>2650</v>
          </cell>
          <cell r="K92">
            <v>2400</v>
          </cell>
          <cell r="L92">
            <v>1300</v>
          </cell>
        </row>
        <row r="93">
          <cell r="E93" t="str">
            <v>51</v>
          </cell>
          <cell r="F93" t="str">
            <v>集会室（固定席）</v>
          </cell>
          <cell r="I93">
            <v>2900</v>
          </cell>
          <cell r="J93">
            <v>2750</v>
          </cell>
          <cell r="K93">
            <v>2600</v>
          </cell>
          <cell r="L93">
            <v>1600</v>
          </cell>
        </row>
        <row r="94">
          <cell r="E94" t="str">
            <v>52</v>
          </cell>
          <cell r="F94" t="str">
            <v>集会室（その他）</v>
          </cell>
          <cell r="I94">
            <v>3500</v>
          </cell>
          <cell r="J94">
            <v>3350</v>
          </cell>
          <cell r="K94">
            <v>3200</v>
          </cell>
          <cell r="L94">
            <v>2100</v>
          </cell>
        </row>
        <row r="95">
          <cell r="E95">
            <v>6</v>
          </cell>
          <cell r="F95" t="str">
            <v>車庫，自動車道路</v>
          </cell>
          <cell r="I95">
            <v>5400</v>
          </cell>
          <cell r="J95">
            <v>4650</v>
          </cell>
          <cell r="K95">
            <v>3900</v>
          </cell>
          <cell r="L95">
            <v>2000</v>
          </cell>
        </row>
        <row r="96">
          <cell r="E96">
            <v>7</v>
          </cell>
          <cell r="F96" t="str">
            <v>廊下または、階段</v>
          </cell>
        </row>
        <row r="97">
          <cell r="E97">
            <v>8</v>
          </cell>
          <cell r="F97" t="str">
            <v>屋上広場又は、バルコニー</v>
          </cell>
        </row>
        <row r="99">
          <cell r="E99">
            <v>10</v>
          </cell>
          <cell r="F99" t="str">
            <v>無積載</v>
          </cell>
          <cell r="I99">
            <v>0</v>
          </cell>
          <cell r="J99">
            <v>0</v>
          </cell>
          <cell r="K99">
            <v>0</v>
          </cell>
          <cell r="L99">
            <v>0</v>
          </cell>
        </row>
        <row r="100">
          <cell r="E100">
            <v>11</v>
          </cell>
          <cell r="F100" t="str">
            <v>非歩行</v>
          </cell>
          <cell r="I100">
            <v>900</v>
          </cell>
          <cell r="J100">
            <v>775</v>
          </cell>
          <cell r="K100">
            <v>650</v>
          </cell>
          <cell r="L100">
            <v>300</v>
          </cell>
        </row>
        <row r="101">
          <cell r="E101">
            <v>12</v>
          </cell>
          <cell r="F101" t="str">
            <v>倉庫</v>
          </cell>
          <cell r="I101">
            <v>3900</v>
          </cell>
          <cell r="J101">
            <v>3510</v>
          </cell>
          <cell r="K101">
            <v>3120</v>
          </cell>
          <cell r="L101">
            <v>2535</v>
          </cell>
        </row>
        <row r="102">
          <cell r="E102">
            <v>13</v>
          </cell>
        </row>
        <row r="103">
          <cell r="E103">
            <v>14</v>
          </cell>
        </row>
        <row r="104">
          <cell r="E104">
            <v>15</v>
          </cell>
        </row>
        <row r="105">
          <cell r="E105">
            <v>16</v>
          </cell>
        </row>
      </sheetData>
      <sheetData sheetId="12" refreshError="1">
        <row r="2">
          <cell r="B2" t="str">
            <v>１－４　　使用材料、材料の許容応力度</v>
          </cell>
          <cell r="G2" t="str">
            <v>（採用蘭の○印は本計算書に採用した項目を示す）</v>
          </cell>
          <cell r="O2" t="str">
            <v>施行令 第９１条より</v>
          </cell>
        </row>
        <row r="3">
          <cell r="O3" t="str">
            <v>ｺﾝｸﾘｰﾄの許容応力度</v>
          </cell>
          <cell r="Q3" t="str">
            <v>( N )</v>
          </cell>
        </row>
        <row r="4">
          <cell r="B4" t="str">
            <v>１） 使用コンクリートおよびコンクリートの許容応力度</v>
          </cell>
          <cell r="L4" t="str">
            <v>(N/m㎡)</v>
          </cell>
          <cell r="O4" t="str">
            <v>長   期</v>
          </cell>
          <cell r="T4" t="str">
            <v>短   期</v>
          </cell>
        </row>
        <row r="5">
          <cell r="B5" t="str">
            <v>採用</v>
          </cell>
          <cell r="C5" t="str">
            <v>種　　　類</v>
          </cell>
          <cell r="E5" t="str">
            <v>Ｆｃ</v>
          </cell>
          <cell r="F5" t="str">
            <v>長　　　　期</v>
          </cell>
          <cell r="H5" t="str">
            <v>短　　　　期</v>
          </cell>
          <cell r="J5" t="str">
            <v>備   考</v>
          </cell>
          <cell r="O5" t="str">
            <v>圧縮</v>
          </cell>
          <cell r="P5" t="str">
            <v>せん断</v>
          </cell>
          <cell r="T5" t="str">
            <v>圧縮</v>
          </cell>
          <cell r="U5" t="str">
            <v>せん断</v>
          </cell>
        </row>
        <row r="6">
          <cell r="F6" t="str">
            <v>圧縮</v>
          </cell>
          <cell r="G6" t="str">
            <v>せん断</v>
          </cell>
          <cell r="H6" t="str">
            <v>圧縮</v>
          </cell>
          <cell r="I6" t="str">
            <v>せん断</v>
          </cell>
          <cell r="O6" t="str">
            <v>F/3</v>
          </cell>
          <cell r="P6" t="str">
            <v>F/30</v>
          </cell>
          <cell r="T6" t="str">
            <v>長期の      ２倍</v>
          </cell>
          <cell r="U6" t="str">
            <v>長期の２倍</v>
          </cell>
        </row>
        <row r="7">
          <cell r="B7" t="str">
            <v>×</v>
          </cell>
          <cell r="C7" t="str">
            <v>普通コンクリート</v>
          </cell>
          <cell r="E7">
            <v>18</v>
          </cell>
          <cell r="F7">
            <v>6</v>
          </cell>
          <cell r="G7">
            <v>0.6</v>
          </cell>
          <cell r="H7">
            <v>12</v>
          </cell>
          <cell r="I7">
            <v>0.89999999999999991</v>
          </cell>
          <cell r="P7" t="str">
            <v>（Fc ２１Ｎを越える場合）0.49+F/100</v>
          </cell>
          <cell r="U7" t="str">
            <v xml:space="preserve"> （Fc ２１Ｎを越える場合）長期の１．５倍とした。</v>
          </cell>
        </row>
        <row r="8">
          <cell r="B8" t="str">
            <v>○</v>
          </cell>
          <cell r="C8" t="str">
            <v>普通コンクリート</v>
          </cell>
          <cell r="E8">
            <v>21</v>
          </cell>
          <cell r="F8">
            <v>7</v>
          </cell>
          <cell r="G8">
            <v>0.7</v>
          </cell>
          <cell r="H8">
            <v>14</v>
          </cell>
          <cell r="I8">
            <v>1.0499999999999998</v>
          </cell>
          <cell r="P8" t="str">
            <v xml:space="preserve">  ※告示 平12建告1450号より</v>
          </cell>
          <cell r="U8" t="str">
            <v>※施行令では、国土交通大臣が２倍と異なる数値を定めた場合は、  その定めた数値とするとある。</v>
          </cell>
        </row>
        <row r="9">
          <cell r="B9" t="str">
            <v>×</v>
          </cell>
          <cell r="C9" t="str">
            <v>普通コンクリート</v>
          </cell>
          <cell r="E9">
            <v>24</v>
          </cell>
          <cell r="F9">
            <v>8</v>
          </cell>
          <cell r="G9">
            <v>0.73</v>
          </cell>
          <cell r="H9">
            <v>16</v>
          </cell>
          <cell r="I9">
            <v>1.095</v>
          </cell>
        </row>
        <row r="10">
          <cell r="B10" t="str">
            <v>×</v>
          </cell>
          <cell r="C10" t="str">
            <v>普通コンクリート</v>
          </cell>
          <cell r="E10">
            <v>27</v>
          </cell>
          <cell r="F10">
            <v>9</v>
          </cell>
          <cell r="G10">
            <v>0.76</v>
          </cell>
          <cell r="H10">
            <v>18</v>
          </cell>
          <cell r="I10">
            <v>1.1400000000000001</v>
          </cell>
          <cell r="U10" t="str">
            <v>しかし、見当たらない為、安全側に考えＲＣ規準の１．５倍とする。</v>
          </cell>
        </row>
        <row r="11">
          <cell r="B11" t="str">
            <v>×</v>
          </cell>
          <cell r="C11" t="str">
            <v>種軽量コンクリート</v>
          </cell>
        </row>
        <row r="12">
          <cell r="B12" t="str">
            <v>×</v>
          </cell>
        </row>
        <row r="13">
          <cell r="O13" t="str">
            <v xml:space="preserve">  ※告示 平12建告2464号第１より</v>
          </cell>
        </row>
        <row r="14">
          <cell r="B14" t="str">
            <v>２）使用鉄筋および鉄筋の許容応力度</v>
          </cell>
          <cell r="L14" t="str">
            <v>(N/m㎡)</v>
          </cell>
          <cell r="P14" t="str">
            <v>異形鉄筋の基準強度 Ｆ</v>
          </cell>
          <cell r="R14" t="str">
            <v>( N/mm2 )</v>
          </cell>
        </row>
        <row r="15">
          <cell r="B15" t="str">
            <v>採用</v>
          </cell>
          <cell r="E15" t="str">
            <v>長　　　　　期</v>
          </cell>
          <cell r="G15" t="str">
            <v>短　　　　　期</v>
          </cell>
          <cell r="I15" t="str">
            <v>備　考</v>
          </cell>
          <cell r="P15" t="str">
            <v xml:space="preserve">SD235 </v>
          </cell>
          <cell r="Q15">
            <v>235</v>
          </cell>
        </row>
        <row r="16">
          <cell r="C16" t="str">
            <v>鉄筋の種類</v>
          </cell>
          <cell r="E16" t="str">
            <v>引張及び       圧縮</v>
          </cell>
          <cell r="F16" t="str">
            <v>せん断    補強</v>
          </cell>
          <cell r="G16" t="str">
            <v>引張及び       圧縮</v>
          </cell>
          <cell r="H16" t="str">
            <v>せん断    補強</v>
          </cell>
          <cell r="P16" t="str">
            <v>SD295A</v>
          </cell>
          <cell r="Q16">
            <v>295</v>
          </cell>
        </row>
        <row r="17">
          <cell r="P17" t="str">
            <v>SD345</v>
          </cell>
          <cell r="Q17">
            <v>345</v>
          </cell>
        </row>
        <row r="18">
          <cell r="B18" t="str">
            <v>×</v>
          </cell>
          <cell r="C18" t="str">
            <v>SR235</v>
          </cell>
          <cell r="E18">
            <v>155</v>
          </cell>
          <cell r="F18">
            <v>156</v>
          </cell>
          <cell r="G18">
            <v>235</v>
          </cell>
          <cell r="H18">
            <v>235</v>
          </cell>
          <cell r="P18" t="str">
            <v>SD390</v>
          </cell>
          <cell r="Q18">
            <v>390</v>
          </cell>
        </row>
        <row r="19">
          <cell r="B19" t="str">
            <v>○</v>
          </cell>
          <cell r="C19" t="str">
            <v>SD295A</v>
          </cell>
          <cell r="E19" t="str">
            <v>196(195)</v>
          </cell>
          <cell r="F19">
            <v>195</v>
          </cell>
          <cell r="G19">
            <v>295</v>
          </cell>
          <cell r="H19">
            <v>295</v>
          </cell>
        </row>
        <row r="20">
          <cell r="B20" t="str">
            <v>○</v>
          </cell>
          <cell r="C20" t="str">
            <v>SD345</v>
          </cell>
          <cell r="E20" t="str">
            <v>215(195)</v>
          </cell>
          <cell r="F20">
            <v>195</v>
          </cell>
          <cell r="G20">
            <v>345</v>
          </cell>
          <cell r="H20">
            <v>345</v>
          </cell>
        </row>
        <row r="21">
          <cell r="B21" t="str">
            <v>×</v>
          </cell>
          <cell r="C21" t="str">
            <v>SD390</v>
          </cell>
          <cell r="E21" t="str">
            <v>215(195)</v>
          </cell>
          <cell r="F21">
            <v>195</v>
          </cell>
          <cell r="G21">
            <v>390</v>
          </cell>
          <cell r="H21">
            <v>390</v>
          </cell>
          <cell r="O21" t="str">
            <v>施行令 第９１条より</v>
          </cell>
          <cell r="Q21" t="str">
            <v>※少数点は、切り捨てとする。</v>
          </cell>
        </row>
        <row r="22">
          <cell r="B22" t="str">
            <v>・ Ｄ２９以上は（　）内の数値</v>
          </cell>
          <cell r="O22" t="str">
            <v>異形鉄筋の許容応力度</v>
          </cell>
          <cell r="Q22" t="str">
            <v>( N/mm2 )</v>
          </cell>
        </row>
        <row r="23">
          <cell r="R23" t="str">
            <v>長   期</v>
          </cell>
          <cell r="W23" t="str">
            <v>短   期</v>
          </cell>
        </row>
        <row r="24">
          <cell r="B24" t="str">
            <v>３）使用鋼材および鋼材の許容応力度</v>
          </cell>
          <cell r="L24" t="str">
            <v>(N/m㎡)</v>
          </cell>
          <cell r="R24" t="str">
            <v>引張・圧縮</v>
          </cell>
          <cell r="U24" t="str">
            <v>せん断補強</v>
          </cell>
          <cell r="W24" t="str">
            <v>引張・圧縮</v>
          </cell>
          <cell r="Y24" t="str">
            <v>せん断補強</v>
          </cell>
        </row>
        <row r="25">
          <cell r="B25" t="str">
            <v>採用</v>
          </cell>
          <cell r="C25" t="str">
            <v>鋼材の種類</v>
          </cell>
          <cell r="D25" t="str">
            <v>板厚</v>
          </cell>
          <cell r="E25" t="str">
            <v>長　　　　　　　　　　期</v>
          </cell>
          <cell r="L25" t="str">
            <v>短　期</v>
          </cell>
          <cell r="P25" t="str">
            <v>径２８ﾐﾘ以下</v>
          </cell>
          <cell r="R25" t="str">
            <v>F/1.5</v>
          </cell>
          <cell r="U25" t="str">
            <v>F/1.5</v>
          </cell>
          <cell r="W25" t="str">
            <v>F</v>
          </cell>
          <cell r="Y25" t="str">
            <v>F</v>
          </cell>
        </row>
        <row r="26">
          <cell r="C26" t="str">
            <v>種類</v>
          </cell>
          <cell r="E26" t="str">
            <v>圧　縮</v>
          </cell>
          <cell r="F26" t="str">
            <v>引　張</v>
          </cell>
          <cell r="G26" t="str">
            <v>曲　げ</v>
          </cell>
          <cell r="H26" t="str">
            <v>せん断</v>
          </cell>
          <cell r="I26" t="str">
            <v>支　圧</v>
          </cell>
          <cell r="R26" t="str">
            <v>（値が215を越えた場合215）</v>
          </cell>
          <cell r="U26" t="str">
            <v>（値が195を越えた場合195）</v>
          </cell>
          <cell r="Y26" t="str">
            <v>（値が390を越えた場合390）</v>
          </cell>
        </row>
        <row r="27">
          <cell r="I27" t="str">
            <v>(1)</v>
          </cell>
          <cell r="J27" t="str">
            <v>(2)</v>
          </cell>
          <cell r="K27" t="str">
            <v>(1)(2) 以外</v>
          </cell>
          <cell r="L27" t="str">
            <v>長期の１．５倍</v>
          </cell>
          <cell r="P27" t="str">
            <v>径２８ﾐﾘ越</v>
          </cell>
          <cell r="R27" t="str">
            <v>F/1.5</v>
          </cell>
          <cell r="U27" t="str">
            <v>F/1.5</v>
          </cell>
          <cell r="W27" t="str">
            <v>F</v>
          </cell>
          <cell r="Y27" t="str">
            <v>F</v>
          </cell>
        </row>
        <row r="28">
          <cell r="B28" t="str">
            <v>○</v>
          </cell>
          <cell r="C28" t="str">
            <v>SS400</v>
          </cell>
          <cell r="D28" t="str">
            <v>t≦40</v>
          </cell>
          <cell r="E28">
            <v>156</v>
          </cell>
          <cell r="F28">
            <v>156</v>
          </cell>
          <cell r="G28">
            <v>156</v>
          </cell>
          <cell r="H28">
            <v>90</v>
          </cell>
          <cell r="I28">
            <v>446</v>
          </cell>
          <cell r="J28">
            <v>293</v>
          </cell>
          <cell r="K28">
            <v>213</v>
          </cell>
          <cell r="R28" t="str">
            <v>（値が195を越えた場合195）</v>
          </cell>
          <cell r="U28" t="str">
            <v>（値が195を越えた場合195）</v>
          </cell>
          <cell r="Y28" t="str">
            <v>（値が390を越えた場合390）</v>
          </cell>
        </row>
        <row r="29">
          <cell r="C29" t="str">
            <v>SM400</v>
          </cell>
        </row>
        <row r="30">
          <cell r="C30" t="str">
            <v>STK400</v>
          </cell>
          <cell r="D30" t="str">
            <v>t＞40</v>
          </cell>
          <cell r="E30">
            <v>143</v>
          </cell>
          <cell r="F30">
            <v>143</v>
          </cell>
          <cell r="G30">
            <v>143</v>
          </cell>
          <cell r="H30">
            <v>82</v>
          </cell>
          <cell r="I30">
            <v>408</v>
          </cell>
          <cell r="J30">
            <v>268</v>
          </cell>
          <cell r="K30">
            <v>195</v>
          </cell>
        </row>
        <row r="31">
          <cell r="C31" t="str">
            <v>STKR400</v>
          </cell>
        </row>
        <row r="32">
          <cell r="C32" t="str">
            <v>SN400</v>
          </cell>
          <cell r="O32" t="str">
            <v xml:space="preserve">  ※告示 平12建告2464号第１より</v>
          </cell>
        </row>
        <row r="33">
          <cell r="B33" t="str">
            <v>×</v>
          </cell>
          <cell r="C33" t="str">
            <v>SM490</v>
          </cell>
          <cell r="D33" t="str">
            <v>t≦40</v>
          </cell>
          <cell r="E33">
            <v>216</v>
          </cell>
          <cell r="F33">
            <v>216</v>
          </cell>
          <cell r="G33">
            <v>216</v>
          </cell>
          <cell r="H33">
            <v>125</v>
          </cell>
          <cell r="I33">
            <v>617</v>
          </cell>
          <cell r="J33">
            <v>406</v>
          </cell>
          <cell r="K33">
            <v>295</v>
          </cell>
          <cell r="P33" t="str">
            <v>鋼材の基準強度 Ｆ</v>
          </cell>
          <cell r="R33" t="str">
            <v>( N/mm2 )</v>
          </cell>
          <cell r="U33" t="str">
            <v>長   期</v>
          </cell>
          <cell r="V33" t="str">
            <v>※少数点は、切り捨てとする。</v>
          </cell>
        </row>
        <row r="34">
          <cell r="C34" t="str">
            <v>STK490</v>
          </cell>
          <cell r="Q34" t="str">
            <v>t≦40</v>
          </cell>
          <cell r="S34" t="str">
            <v>100≧t＞40</v>
          </cell>
          <cell r="U34" t="str">
            <v>圧縮・引張・曲げ</v>
          </cell>
          <cell r="W34" t="str">
            <v>せん断</v>
          </cell>
          <cell r="Y34" t="str">
            <v>支　圧</v>
          </cell>
        </row>
        <row r="35">
          <cell r="C35" t="str">
            <v>STKR490</v>
          </cell>
          <cell r="D35" t="str">
            <v>t＞40</v>
          </cell>
          <cell r="E35">
            <v>196</v>
          </cell>
          <cell r="F35">
            <v>196</v>
          </cell>
          <cell r="G35">
            <v>196</v>
          </cell>
          <cell r="H35">
            <v>113</v>
          </cell>
          <cell r="I35">
            <v>560</v>
          </cell>
          <cell r="J35">
            <v>368</v>
          </cell>
          <cell r="K35">
            <v>268</v>
          </cell>
          <cell r="P35" t="str">
            <v>SS400</v>
          </cell>
          <cell r="Q35">
            <v>235</v>
          </cell>
          <cell r="S35">
            <v>215</v>
          </cell>
          <cell r="X35" t="str">
            <v>(1)</v>
          </cell>
          <cell r="Y35" t="str">
            <v>(2)</v>
          </cell>
          <cell r="Z35" t="str">
            <v>(1)(2) 以外</v>
          </cell>
        </row>
        <row r="36">
          <cell r="C36" t="str">
            <v>SN490</v>
          </cell>
          <cell r="P36" t="str">
            <v>SM400</v>
          </cell>
          <cell r="Q36">
            <v>235</v>
          </cell>
          <cell r="S36">
            <v>215</v>
          </cell>
          <cell r="U36" t="str">
            <v>F/1.5</v>
          </cell>
          <cell r="W36" t="str">
            <v>F/1.5√3</v>
          </cell>
          <cell r="X36" t="str">
            <v>1.9F</v>
          </cell>
          <cell r="Y36" t="str">
            <v>1.25F</v>
          </cell>
          <cell r="Z36" t="str">
            <v>F/1.1</v>
          </cell>
        </row>
        <row r="37">
          <cell r="B37" t="str">
            <v>○</v>
          </cell>
          <cell r="C37" t="str">
            <v>BCR295</v>
          </cell>
          <cell r="E37">
            <v>196</v>
          </cell>
          <cell r="F37">
            <v>196</v>
          </cell>
          <cell r="G37">
            <v>196</v>
          </cell>
          <cell r="H37">
            <v>113</v>
          </cell>
          <cell r="P37" t="str">
            <v>SMA400</v>
          </cell>
          <cell r="Q37">
            <v>235</v>
          </cell>
          <cell r="S37">
            <v>215</v>
          </cell>
        </row>
        <row r="38">
          <cell r="B38" t="str">
            <v>×</v>
          </cell>
          <cell r="C38" t="str">
            <v>BCP235</v>
          </cell>
          <cell r="E38">
            <v>156</v>
          </cell>
          <cell r="F38">
            <v>156</v>
          </cell>
          <cell r="G38">
            <v>156</v>
          </cell>
          <cell r="H38">
            <v>90</v>
          </cell>
          <cell r="P38" t="str">
            <v>STK400</v>
          </cell>
          <cell r="Q38">
            <v>235</v>
          </cell>
          <cell r="S38">
            <v>215</v>
          </cell>
          <cell r="U38" t="str">
            <v>圧縮・引張・曲げ</v>
          </cell>
          <cell r="W38" t="str">
            <v>施行令 第９0条より</v>
          </cell>
        </row>
        <row r="39">
          <cell r="B39" t="str">
            <v>×</v>
          </cell>
          <cell r="C39" t="str">
            <v>BCP325</v>
          </cell>
          <cell r="E39">
            <v>216</v>
          </cell>
          <cell r="F39">
            <v>216</v>
          </cell>
          <cell r="G39">
            <v>216</v>
          </cell>
          <cell r="H39">
            <v>125</v>
          </cell>
          <cell r="P39" t="str">
            <v>STKR400</v>
          </cell>
          <cell r="Q39">
            <v>235</v>
          </cell>
          <cell r="S39">
            <v>215</v>
          </cell>
          <cell r="U39" t="str">
            <v>せん断</v>
          </cell>
          <cell r="W39" t="str">
            <v>〃</v>
          </cell>
        </row>
        <row r="40">
          <cell r="B40" t="str">
            <v>○</v>
          </cell>
          <cell r="C40" t="str">
            <v>中ボルト強度区分 4.6</v>
          </cell>
          <cell r="F40">
            <v>160</v>
          </cell>
          <cell r="H40">
            <v>120</v>
          </cell>
          <cell r="P40" t="str">
            <v>SN400</v>
          </cell>
          <cell r="Q40">
            <v>235</v>
          </cell>
          <cell r="S40">
            <v>215</v>
          </cell>
          <cell r="U40" t="str">
            <v>支　圧</v>
          </cell>
          <cell r="W40" t="str">
            <v xml:space="preserve">  告示 昭55建告第1799号第1・2より</v>
          </cell>
        </row>
        <row r="41">
          <cell r="P41" t="str">
            <v>SS490</v>
          </cell>
          <cell r="Q41">
            <v>275</v>
          </cell>
          <cell r="S41">
            <v>255</v>
          </cell>
        </row>
        <row r="42">
          <cell r="P42" t="str">
            <v>SM490Y</v>
          </cell>
          <cell r="Q42">
            <v>325</v>
          </cell>
          <cell r="S42">
            <v>295</v>
          </cell>
        </row>
        <row r="43">
          <cell r="B43" t="str">
            <v xml:space="preserve">(1)は、すべり支承・ローラー支承 </v>
          </cell>
          <cell r="F43" t="str">
            <v>・ ボルトの許容力は軸断面積について算出する</v>
          </cell>
          <cell r="P43" t="str">
            <v>SMA490</v>
          </cell>
          <cell r="Q43">
            <v>325</v>
          </cell>
          <cell r="S43">
            <v>295</v>
          </cell>
        </row>
        <row r="44">
          <cell r="B44" t="str">
            <v>(2)は、ボルト・リベットの軸部に接触する面</v>
          </cell>
          <cell r="F44" t="str">
            <v>・ 圧縮材として使用される鋼材の許容圧縮座屈応力度は別に算出する</v>
          </cell>
          <cell r="P44" t="str">
            <v>STK490</v>
          </cell>
          <cell r="Q44">
            <v>325</v>
          </cell>
          <cell r="S44">
            <v>295</v>
          </cell>
        </row>
        <row r="45">
          <cell r="F45" t="str">
            <v>・ 曲げ材において、横座屈を考慮する場合の許容曲げ応力度は別に算出する</v>
          </cell>
          <cell r="P45" t="str">
            <v>STKR490</v>
          </cell>
          <cell r="Q45">
            <v>325</v>
          </cell>
          <cell r="S45">
            <v>295</v>
          </cell>
        </row>
        <row r="46">
          <cell r="P46" t="str">
            <v>SN490</v>
          </cell>
          <cell r="Q46">
            <v>325</v>
          </cell>
          <cell r="S46">
            <v>295</v>
          </cell>
        </row>
        <row r="48">
          <cell r="P48" t="str">
            <v>鋼材の基準強度 Ｆ</v>
          </cell>
          <cell r="R48" t="str">
            <v>( N/mm2 )</v>
          </cell>
          <cell r="T48" t="str">
            <v>( kg/cm2 )</v>
          </cell>
          <cell r="U48" t="str">
            <v xml:space="preserve">  ※冷間成形角形鋼管設計・施工マニュアルには、</v>
          </cell>
        </row>
        <row r="49">
          <cell r="P49" t="str">
            <v>BCR295</v>
          </cell>
          <cell r="Q49">
            <v>295</v>
          </cell>
          <cell r="T49">
            <v>3000</v>
          </cell>
          <cell r="U49" t="str">
            <v xml:space="preserve">      左記の表の通りとなっている。</v>
          </cell>
        </row>
        <row r="50">
          <cell r="B50" t="str">
            <v xml:space="preserve">４）鉄筋および鋼材のコンクリートに対する許容付着応力度                              </v>
          </cell>
          <cell r="J50" t="str">
            <v>(N/ｍ㎡)</v>
          </cell>
          <cell r="P50" t="str">
            <v>BCP235</v>
          </cell>
          <cell r="Q50">
            <v>235</v>
          </cell>
          <cell r="T50">
            <v>2400</v>
          </cell>
          <cell r="U50" t="str">
            <v xml:space="preserve">      SI単位になっているものは、見当たらずSN材を参考にして、</v>
          </cell>
        </row>
        <row r="51">
          <cell r="B51" t="str">
            <v>採用</v>
          </cell>
          <cell r="D51" t="str">
            <v>異　形　鉄　筋</v>
          </cell>
          <cell r="H51" t="str">
            <v>形鋼・鋼板</v>
          </cell>
          <cell r="P51" t="str">
            <v>BCP325</v>
          </cell>
          <cell r="Q51">
            <v>325</v>
          </cell>
          <cell r="T51">
            <v>3300</v>
          </cell>
          <cell r="U51" t="str">
            <v xml:space="preserve">      SI単位化とする。</v>
          </cell>
        </row>
        <row r="52">
          <cell r="C52" t="str">
            <v>Ｆｃ</v>
          </cell>
          <cell r="D52" t="str">
            <v>長　　期</v>
          </cell>
          <cell r="F52" t="str">
            <v>短　　期</v>
          </cell>
          <cell r="H52" t="str">
            <v>長期</v>
          </cell>
          <cell r="I52" t="str">
            <v>短期</v>
          </cell>
        </row>
        <row r="53">
          <cell r="D53" t="str">
            <v>上端筋</v>
          </cell>
          <cell r="E53" t="str">
            <v>その他</v>
          </cell>
          <cell r="F53" t="str">
            <v>上端筋</v>
          </cell>
          <cell r="G53" t="str">
            <v>その他</v>
          </cell>
          <cell r="O53" t="str">
            <v>中ボルト許容応力度に関して</v>
          </cell>
        </row>
        <row r="54">
          <cell r="B54" t="str">
            <v>×</v>
          </cell>
          <cell r="C54">
            <v>18</v>
          </cell>
          <cell r="D54">
            <v>1.2</v>
          </cell>
          <cell r="E54">
            <v>1.8</v>
          </cell>
          <cell r="F54">
            <v>2.4</v>
          </cell>
          <cell r="G54">
            <v>3.6</v>
          </cell>
          <cell r="H54">
            <v>0.36</v>
          </cell>
          <cell r="I54">
            <v>0.54</v>
          </cell>
          <cell r="P54" t="str">
            <v>DLGｼﾘｰｽﾞの使用材料が、強度区分 4.6である為この値とする。</v>
          </cell>
        </row>
        <row r="55">
          <cell r="B55" t="str">
            <v>○</v>
          </cell>
          <cell r="C55">
            <v>21</v>
          </cell>
          <cell r="D55">
            <v>1.4</v>
          </cell>
          <cell r="E55">
            <v>2.1</v>
          </cell>
          <cell r="F55">
            <v>2.8</v>
          </cell>
          <cell r="G55">
            <v>4.2</v>
          </cell>
          <cell r="H55">
            <v>0.42</v>
          </cell>
          <cell r="I55">
            <v>0.63</v>
          </cell>
          <cell r="P55" t="str">
            <v>鋼材の基準強度 Ｆ</v>
          </cell>
          <cell r="R55" t="str">
            <v>( N/mm2 )</v>
          </cell>
        </row>
        <row r="56">
          <cell r="B56" t="str">
            <v>×</v>
          </cell>
          <cell r="C56">
            <v>24</v>
          </cell>
          <cell r="D56">
            <v>1.54</v>
          </cell>
          <cell r="E56">
            <v>2.31</v>
          </cell>
          <cell r="F56">
            <v>3.08</v>
          </cell>
          <cell r="G56">
            <v>4.62</v>
          </cell>
          <cell r="H56">
            <v>0.45</v>
          </cell>
          <cell r="I56">
            <v>0.67</v>
          </cell>
          <cell r="P56">
            <v>240</v>
          </cell>
        </row>
        <row r="57">
          <cell r="B57" t="str">
            <v>×</v>
          </cell>
          <cell r="C57">
            <v>27</v>
          </cell>
          <cell r="D57">
            <v>1.62</v>
          </cell>
          <cell r="E57">
            <v>2.4300000000000002</v>
          </cell>
          <cell r="F57">
            <v>3.24</v>
          </cell>
          <cell r="G57">
            <v>4.8600000000000003</v>
          </cell>
          <cell r="H57">
            <v>0.45</v>
          </cell>
          <cell r="I57">
            <v>0.67</v>
          </cell>
        </row>
        <row r="58">
          <cell r="B58" t="str">
            <v>×</v>
          </cell>
          <cell r="P58" t="str">
            <v>※補足</v>
          </cell>
          <cell r="Q58" t="str">
            <v>JIS B1180(1974版)より</v>
          </cell>
        </row>
        <row r="59">
          <cell r="B59" t="str">
            <v>・ 上端筋とは、曲げ材にあって、その鉄筋の下に300mm以上のコンクリートが打ち込まれる場合の水平鉄筋をいう</v>
          </cell>
          <cell r="Q59" t="str">
            <v>強度区分 4.6     の4は引張強度、6は降伏比をします。</v>
          </cell>
        </row>
        <row r="60">
          <cell r="Q60" t="str">
            <v>保証荷重応力</v>
          </cell>
          <cell r="R60">
            <v>22.9</v>
          </cell>
          <cell r="S60" t="str">
            <v>(kgf/mm2)</v>
          </cell>
          <cell r="X60" t="str">
            <v>ねじの呼び</v>
          </cell>
          <cell r="Y60" t="str">
            <v>有効断面積</v>
          </cell>
          <cell r="Z60" t="str">
            <v>T</v>
          </cell>
        </row>
        <row r="61">
          <cell r="Y61" t="str">
            <v>(mm2)</v>
          </cell>
          <cell r="Z61" t="str">
            <v>(kgf/cm)</v>
          </cell>
        </row>
        <row r="62">
          <cell r="B62" t="str">
            <v>５） 溶接継ぎ目ののど断面に対する許容応力度　　　　　　　　　　　　　　　　　　　　　</v>
          </cell>
          <cell r="K62" t="str">
            <v>(N/m㎡)</v>
          </cell>
          <cell r="Q62" t="str">
            <v>計算例 ねじの呼び M12 x 1.75 強度区分4.6</v>
          </cell>
          <cell r="X62" t="str">
            <v>M10 x 1.5</v>
          </cell>
          <cell r="Y62">
            <v>58</v>
          </cell>
          <cell r="Z62">
            <v>180</v>
          </cell>
        </row>
        <row r="63">
          <cell r="B63" t="str">
            <v>採用</v>
          </cell>
          <cell r="C63" t="str">
            <v>鋼材の種類</v>
          </cell>
          <cell r="E63" t="str">
            <v>板　厚</v>
          </cell>
          <cell r="F63" t="str">
            <v>長　　　　期</v>
          </cell>
          <cell r="K63" t="str">
            <v>短　期</v>
          </cell>
          <cell r="Q63" t="str">
            <v>T = 0.17 x 1.2 x (22.9 x 84.3 x 0.8) = 315</v>
          </cell>
          <cell r="X63" t="str">
            <v>M12 x 1.75</v>
          </cell>
          <cell r="Y63">
            <v>84.3</v>
          </cell>
          <cell r="Z63">
            <v>315</v>
          </cell>
        </row>
        <row r="64">
          <cell r="F64" t="str">
            <v>突　　合　　せ</v>
          </cell>
          <cell r="J64" t="str">
            <v>すみ肉</v>
          </cell>
          <cell r="X64" t="str">
            <v>M14 x 2</v>
          </cell>
          <cell r="Y64">
            <v>115</v>
          </cell>
          <cell r="Z64">
            <v>501</v>
          </cell>
        </row>
        <row r="65">
          <cell r="F65" t="str">
            <v>引　張</v>
          </cell>
          <cell r="G65" t="str">
            <v>圧　縮</v>
          </cell>
          <cell r="H65" t="str">
            <v>曲　げ</v>
          </cell>
          <cell r="I65" t="str">
            <v>せん断</v>
          </cell>
          <cell r="Q65" t="str">
            <v>T = K．d．P</v>
          </cell>
          <cell r="X65" t="str">
            <v>M16 x 2</v>
          </cell>
          <cell r="Y65">
            <v>157</v>
          </cell>
          <cell r="Z65">
            <v>782</v>
          </cell>
        </row>
        <row r="66">
          <cell r="B66" t="str">
            <v>○</v>
          </cell>
          <cell r="C66" t="str">
            <v>SS400</v>
          </cell>
          <cell r="E66" t="str">
            <v>ｔ≦40</v>
          </cell>
          <cell r="F66">
            <v>156</v>
          </cell>
          <cell r="G66">
            <v>156</v>
          </cell>
          <cell r="H66">
            <v>156</v>
          </cell>
          <cell r="I66">
            <v>90</v>
          </cell>
          <cell r="J66">
            <v>90</v>
          </cell>
          <cell r="K66" t="str">
            <v>長期の   １．５倍</v>
          </cell>
          <cell r="Q66" t="str">
            <v>T ：ねじの締付けﾄﾙｸ</v>
          </cell>
          <cell r="X66" t="str">
            <v>M18 x 2.5</v>
          </cell>
          <cell r="Y66">
            <v>192</v>
          </cell>
          <cell r="Z66">
            <v>1076</v>
          </cell>
        </row>
        <row r="67">
          <cell r="C67" t="str">
            <v>SM400</v>
          </cell>
          <cell r="Q67" t="str">
            <v>K ：ﾄﾙｸ係数 ( 0.17とする )</v>
          </cell>
          <cell r="X67" t="str">
            <v>M20 x 2.5</v>
          </cell>
          <cell r="Y67">
            <v>245</v>
          </cell>
          <cell r="Z67">
            <v>1526</v>
          </cell>
        </row>
        <row r="68">
          <cell r="C68" t="str">
            <v>SMA400</v>
          </cell>
          <cell r="Q68" t="str">
            <v>d ：ねじの呼び径</v>
          </cell>
          <cell r="X68" t="str">
            <v>M22 x 2.5</v>
          </cell>
          <cell r="Y68">
            <v>303</v>
          </cell>
          <cell r="Z68">
            <v>2076</v>
          </cell>
        </row>
        <row r="69">
          <cell r="C69" t="str">
            <v>STK400</v>
          </cell>
          <cell r="E69" t="str">
            <v>t＞40</v>
          </cell>
          <cell r="F69">
            <v>143</v>
          </cell>
          <cell r="G69">
            <v>143</v>
          </cell>
          <cell r="H69">
            <v>143</v>
          </cell>
          <cell r="I69">
            <v>82</v>
          </cell>
          <cell r="J69">
            <v>82</v>
          </cell>
          <cell r="Q69" t="str">
            <v>P ：ねじの推奨締付け軸力</v>
          </cell>
          <cell r="S69" t="str">
            <v>（ 保証荷重応力 x 有効断面積 x 0.8 ）</v>
          </cell>
        </row>
        <row r="70">
          <cell r="C70" t="str">
            <v>STKR400</v>
          </cell>
        </row>
        <row r="71">
          <cell r="C71" t="str">
            <v>SN400</v>
          </cell>
        </row>
        <row r="72">
          <cell r="B72" t="str">
            <v>×</v>
          </cell>
          <cell r="C72" t="str">
            <v>SM490</v>
          </cell>
          <cell r="E72" t="str">
            <v>ｔ≦40</v>
          </cell>
          <cell r="F72">
            <v>216</v>
          </cell>
          <cell r="G72">
            <v>216</v>
          </cell>
          <cell r="H72">
            <v>216</v>
          </cell>
          <cell r="I72">
            <v>125</v>
          </cell>
          <cell r="J72">
            <v>125</v>
          </cell>
        </row>
        <row r="73">
          <cell r="C73" t="str">
            <v>SM490Y</v>
          </cell>
          <cell r="O73" t="str">
            <v xml:space="preserve">  ※告示 平12建告1450号より</v>
          </cell>
        </row>
        <row r="74">
          <cell r="C74" t="str">
            <v>SMA490</v>
          </cell>
          <cell r="P74" t="str">
            <v xml:space="preserve">異形鉄筋のコンクリートに対する許容付着応力度                              </v>
          </cell>
          <cell r="T74" t="str">
            <v>(N/ｍ㎡)</v>
          </cell>
        </row>
        <row r="75">
          <cell r="C75" t="str">
            <v>STK490</v>
          </cell>
          <cell r="E75" t="str">
            <v>t＞40</v>
          </cell>
          <cell r="F75">
            <v>196</v>
          </cell>
          <cell r="G75">
            <v>196</v>
          </cell>
          <cell r="H75">
            <v>196</v>
          </cell>
          <cell r="I75">
            <v>113</v>
          </cell>
          <cell r="J75">
            <v>113</v>
          </cell>
          <cell r="R75" t="str">
            <v>長   期</v>
          </cell>
          <cell r="T75" t="str">
            <v>短   期</v>
          </cell>
        </row>
        <row r="76">
          <cell r="C76" t="str">
            <v>STKR490</v>
          </cell>
          <cell r="R76" t="str">
            <v>上端筋</v>
          </cell>
          <cell r="S76" t="str">
            <v>その他</v>
          </cell>
        </row>
        <row r="77">
          <cell r="C77" t="str">
            <v>SN490</v>
          </cell>
          <cell r="P77" t="str">
            <v>Fc 22.5以下の場合</v>
          </cell>
          <cell r="R77" t="str">
            <v>F/15</v>
          </cell>
          <cell r="S77" t="str">
            <v>F/10</v>
          </cell>
          <cell r="T77" t="str">
            <v>長期の 2倍</v>
          </cell>
        </row>
        <row r="78">
          <cell r="B78" t="str">
            <v>○</v>
          </cell>
          <cell r="C78" t="str">
            <v>BCR295</v>
          </cell>
          <cell r="F78">
            <v>196</v>
          </cell>
          <cell r="G78">
            <v>196</v>
          </cell>
          <cell r="H78">
            <v>196</v>
          </cell>
          <cell r="I78">
            <v>113</v>
          </cell>
          <cell r="J78">
            <v>113</v>
          </cell>
          <cell r="P78" t="str">
            <v>Fc 22.5を越える場合</v>
          </cell>
          <cell r="R78" t="str">
            <v>0.9+2F/75</v>
          </cell>
          <cell r="S78" t="str">
            <v>1.35+F/25</v>
          </cell>
        </row>
        <row r="79">
          <cell r="B79" t="str">
            <v>×</v>
          </cell>
          <cell r="C79" t="str">
            <v>BCP235</v>
          </cell>
          <cell r="F79">
            <v>156</v>
          </cell>
          <cell r="G79">
            <v>156</v>
          </cell>
          <cell r="H79">
            <v>156</v>
          </cell>
          <cell r="I79">
            <v>90</v>
          </cell>
          <cell r="J79">
            <v>90</v>
          </cell>
        </row>
        <row r="80">
          <cell r="B80" t="str">
            <v>×</v>
          </cell>
          <cell r="C80" t="str">
            <v>BCP325</v>
          </cell>
          <cell r="F80">
            <v>216</v>
          </cell>
          <cell r="G80">
            <v>216</v>
          </cell>
          <cell r="H80">
            <v>216</v>
          </cell>
          <cell r="I80">
            <v>125</v>
          </cell>
          <cell r="J80">
            <v>125</v>
          </cell>
          <cell r="P80" t="str">
            <v xml:space="preserve">形鋼・鋼板のコンクリートに対する許容付着応力度  (kg/c㎡)                            </v>
          </cell>
          <cell r="U80" t="str">
            <v>※少数点は、切り捨てとする。</v>
          </cell>
          <cell r="X80" t="str">
            <v>※ SRC規準より引用する。</v>
          </cell>
        </row>
        <row r="81">
          <cell r="Q81" t="str">
            <v>長   期</v>
          </cell>
          <cell r="S81" t="str">
            <v>短   期</v>
          </cell>
        </row>
        <row r="82">
          <cell r="P82" t="str">
            <v>2Fc/100  かつ  0.45以下</v>
          </cell>
          <cell r="S82" t="str">
            <v xml:space="preserve">     長期の1.5倍</v>
          </cell>
        </row>
        <row r="84">
          <cell r="B84" t="str">
            <v>５） 高力ボルトの許容耐力（μ=0.45）　　　　　　　　　　　　　　　　　　　　　　　　　　　　　</v>
          </cell>
          <cell r="L84" t="str">
            <v>(kN/本)</v>
          </cell>
        </row>
        <row r="85">
          <cell r="B85" t="str">
            <v>採用</v>
          </cell>
          <cell r="C85" t="str">
            <v>高力      ボルト      の種類</v>
          </cell>
          <cell r="D85" t="str">
            <v>ボ ル ト     呼び径</v>
          </cell>
          <cell r="E85" t="str">
            <v>長　　　期</v>
          </cell>
          <cell r="I85" t="str">
            <v>短　　　　　期</v>
          </cell>
          <cell r="K85" t="str">
            <v>備考</v>
          </cell>
        </row>
        <row r="86">
          <cell r="E86" t="str">
            <v>許容せん断力(kN)</v>
          </cell>
          <cell r="G86" t="str">
            <v>許容       引張力(kN)</v>
          </cell>
          <cell r="H86" t="str">
            <v>許容せん断力(KN)</v>
          </cell>
          <cell r="J86" t="str">
            <v>許容       引張力(kN)</v>
          </cell>
        </row>
        <row r="87">
          <cell r="E87" t="str">
            <v>１面摩擦</v>
          </cell>
          <cell r="F87" t="str">
            <v>２面摩擦</v>
          </cell>
          <cell r="H87" t="str">
            <v>１面摩擦</v>
          </cell>
          <cell r="I87" t="str">
            <v>２面摩擦</v>
          </cell>
          <cell r="O87" t="str">
            <v>施行令 第９２条より</v>
          </cell>
        </row>
        <row r="88">
          <cell r="B88" t="str">
            <v>○</v>
          </cell>
          <cell r="C88" t="str">
            <v>Ｆ10Ｔ</v>
          </cell>
          <cell r="D88" t="str">
            <v>M16</v>
          </cell>
          <cell r="E88">
            <v>30.2</v>
          </cell>
          <cell r="F88">
            <v>60.3</v>
          </cell>
          <cell r="G88">
            <v>62.3</v>
          </cell>
          <cell r="H88">
            <v>45.3</v>
          </cell>
          <cell r="I88">
            <v>90.5</v>
          </cell>
          <cell r="J88">
            <v>93.5</v>
          </cell>
          <cell r="P88" t="str">
            <v>溶接継ぎ目ののど断面に対する許容応力度　(N/m㎡)　　　　　　　　　　　　　　　　　　　　</v>
          </cell>
        </row>
        <row r="89">
          <cell r="B89" t="str">
            <v>○</v>
          </cell>
          <cell r="D89" t="str">
            <v>M20</v>
          </cell>
          <cell r="E89">
            <v>47.1</v>
          </cell>
          <cell r="F89">
            <v>94.2</v>
          </cell>
          <cell r="G89">
            <v>97.3</v>
          </cell>
          <cell r="H89">
            <v>70.7</v>
          </cell>
          <cell r="I89">
            <v>141</v>
          </cell>
          <cell r="J89">
            <v>146</v>
          </cell>
          <cell r="Q89" t="str">
            <v>長   期</v>
          </cell>
          <cell r="V89" t="str">
            <v>短   期</v>
          </cell>
        </row>
        <row r="90">
          <cell r="B90" t="str">
            <v>○</v>
          </cell>
          <cell r="D90" t="str">
            <v>M22</v>
          </cell>
          <cell r="E90">
            <v>57</v>
          </cell>
          <cell r="F90">
            <v>114</v>
          </cell>
          <cell r="G90">
            <v>118</v>
          </cell>
          <cell r="H90">
            <v>85.5</v>
          </cell>
          <cell r="I90">
            <v>171</v>
          </cell>
          <cell r="J90">
            <v>177</v>
          </cell>
          <cell r="Q90" t="str">
            <v>突　　合　　せ</v>
          </cell>
          <cell r="T90" t="str">
            <v>すみ肉</v>
          </cell>
        </row>
        <row r="91">
          <cell r="B91" t="str">
            <v>×</v>
          </cell>
          <cell r="D91" t="str">
            <v>M24</v>
          </cell>
          <cell r="E91">
            <v>67.8</v>
          </cell>
          <cell r="F91">
            <v>136</v>
          </cell>
          <cell r="G91">
            <v>140</v>
          </cell>
          <cell r="H91">
            <v>102</v>
          </cell>
          <cell r="I91">
            <v>203</v>
          </cell>
          <cell r="J91">
            <v>210</v>
          </cell>
          <cell r="P91" t="str">
            <v>引　張</v>
          </cell>
          <cell r="Q91" t="str">
            <v>圧　縮</v>
          </cell>
          <cell r="R91" t="str">
            <v>曲　げ</v>
          </cell>
          <cell r="S91" t="str">
            <v>せん断</v>
          </cell>
          <cell r="U91" t="str">
            <v xml:space="preserve">       長期の1.5倍</v>
          </cell>
        </row>
        <row r="92">
          <cell r="B92" t="str">
            <v>×</v>
          </cell>
          <cell r="P92" t="str">
            <v>F/1.5</v>
          </cell>
          <cell r="Q92" t="str">
            <v>F/1.5</v>
          </cell>
          <cell r="R92" t="str">
            <v>F/1.5</v>
          </cell>
          <cell r="S92" t="str">
            <v>F/1.5√3</v>
          </cell>
          <cell r="T92" t="str">
            <v>F/1.5√3</v>
          </cell>
        </row>
        <row r="98">
          <cell r="O98" t="str">
            <v>高力ボルトの許容耐力（μ=0.45）　　　　　　　　　　　　　　　　　　　　　　　　　　　　　</v>
          </cell>
        </row>
        <row r="99">
          <cell r="P99" t="str">
            <v>左記の表は、神鋼ボルトの設計資料より準拠した。</v>
          </cell>
        </row>
        <row r="100">
          <cell r="P100" t="str">
            <v>JIS B 1186-1995 仕様という事で、他のメーカーも同じと考えている。</v>
          </cell>
        </row>
        <row r="101">
          <cell r="P101" t="str">
            <v>また、トルシア形高力ボルトについても同じと考えている。</v>
          </cell>
        </row>
        <row r="103">
          <cell r="P103" t="str">
            <v>６） 溶融亜鉛めっき高力ボルトの許容耐力（μ=0.4）については、　　　　　　　　　　　　　　　　　　　　　　　　　　　　　</v>
          </cell>
        </row>
        <row r="104">
          <cell r="P104" t="str">
            <v xml:space="preserve">     DLGｼﾘｰｽﾞ等に使って下さい。</v>
          </cell>
        </row>
        <row r="112">
          <cell r="O112" t="str">
            <v>補足</v>
          </cell>
        </row>
        <row r="113">
          <cell r="P113" t="str">
            <v>施行令とは、平成12年6月1日より施行された建築基準法施行令をいう。</v>
          </cell>
        </row>
        <row r="115">
          <cell r="P115" t="str">
            <v>参考図書</v>
          </cell>
        </row>
        <row r="116">
          <cell r="Q116" t="str">
            <v>2001年版 建築物の構造関係技術基準解説書</v>
          </cell>
          <cell r="W116" t="str">
            <v>編集 財団法人日本建築センター</v>
          </cell>
        </row>
        <row r="117">
          <cell r="Q117" t="str">
            <v>1999年11月改定 鉄筋コンクリート構造計算規準・同解説</v>
          </cell>
          <cell r="W117" t="str">
            <v>発行 日本建築学会</v>
          </cell>
        </row>
        <row r="118">
          <cell r="Q118" t="str">
            <v>2001年  1月改定 鉄骨鉄筋コンクリート構造計算規準・同解説</v>
          </cell>
          <cell r="W118" t="str">
            <v>発行 日本建築学会</v>
          </cell>
        </row>
        <row r="119">
          <cell r="Q119" t="str">
            <v>平成 8年 9月改定  冷間成形角形鋼管設計・施工マニュアル</v>
          </cell>
          <cell r="W119" t="str">
            <v>編集 財団法人日本建築センター</v>
          </cell>
        </row>
      </sheetData>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礎梁の設計"/>
    </sheetNames>
    <sheetDataSet>
      <sheetData sheetId="0" refreshError="1">
        <row r="1">
          <cell r="BD1" t="str">
            <v>{MENUBRANCH MENU}</v>
          </cell>
        </row>
        <row r="3">
          <cell r="AB3" t="str">
            <v>G</v>
          </cell>
          <cell r="AC3" t="str">
            <v>上端</v>
          </cell>
          <cell r="AD3">
            <v>0</v>
          </cell>
          <cell r="AE3">
            <v>0</v>
          </cell>
          <cell r="AF3">
            <v>0</v>
          </cell>
          <cell r="AG3">
            <v>0.8</v>
          </cell>
          <cell r="AH3" t="str">
            <v>下端</v>
          </cell>
          <cell r="AI3">
            <v>0</v>
          </cell>
        </row>
        <row r="4">
          <cell r="AB4" t="str">
            <v>G+S</v>
          </cell>
          <cell r="AC4" t="str">
            <v>上端</v>
          </cell>
          <cell r="AD4">
            <v>0</v>
          </cell>
          <cell r="AE4">
            <v>0</v>
          </cell>
          <cell r="AF4">
            <v>0</v>
          </cell>
          <cell r="AG4">
            <v>0.8</v>
          </cell>
          <cell r="AH4" t="str">
            <v>下端</v>
          </cell>
          <cell r="AI4">
            <v>0</v>
          </cell>
        </row>
        <row r="5">
          <cell r="AB5" t="str">
            <v>G+W</v>
          </cell>
          <cell r="AC5" t="str">
            <v>上端</v>
          </cell>
          <cell r="AD5">
            <v>0</v>
          </cell>
          <cell r="AE5">
            <v>0</v>
          </cell>
          <cell r="AF5">
            <v>0</v>
          </cell>
          <cell r="AG5">
            <v>0.8</v>
          </cell>
          <cell r="AH5" t="str">
            <v>下端</v>
          </cell>
          <cell r="AI5">
            <v>0</v>
          </cell>
        </row>
        <row r="6">
          <cell r="AB6" t="str">
            <v>G+K</v>
          </cell>
          <cell r="AC6" t="str">
            <v>上端</v>
          </cell>
          <cell r="AD6">
            <v>4.05</v>
          </cell>
          <cell r="AE6">
            <v>0</v>
          </cell>
          <cell r="AF6">
            <v>0</v>
          </cell>
          <cell r="AG6">
            <v>3.7700000000000005</v>
          </cell>
          <cell r="AH6" t="str">
            <v>下端</v>
          </cell>
          <cell r="AI6">
            <v>5.4</v>
          </cell>
        </row>
        <row r="7">
          <cell r="AB7" t="str">
            <v>MAX</v>
          </cell>
          <cell r="AC7" t="str">
            <v>上端</v>
          </cell>
          <cell r="AD7">
            <v>4.05</v>
          </cell>
          <cell r="AE7">
            <v>0</v>
          </cell>
          <cell r="AF7">
            <v>0</v>
          </cell>
          <cell r="AG7">
            <v>3.7700000000000005</v>
          </cell>
          <cell r="AH7" t="str">
            <v>下端</v>
          </cell>
          <cell r="AI7">
            <v>5.4</v>
          </cell>
        </row>
        <row r="11">
          <cell r="BD11" t="str">
            <v>E保存・終了</v>
          </cell>
          <cell r="BE11" t="str">
            <v>P印刷</v>
          </cell>
          <cell r="BF11" t="str">
            <v>Q終了</v>
          </cell>
          <cell r="BG11" t="str">
            <v>S保存</v>
          </cell>
          <cell r="BH11" t="str">
            <v>Rシートの読込</v>
          </cell>
          <cell r="BI11" t="str">
            <v>Fﾃﾞ-ﾀの編集</v>
          </cell>
        </row>
        <row r="12">
          <cell r="AC12">
            <v>100</v>
          </cell>
          <cell r="AD12">
            <v>110</v>
          </cell>
          <cell r="AE12">
            <v>120</v>
          </cell>
          <cell r="AF12">
            <v>130</v>
          </cell>
          <cell r="AG12">
            <v>140</v>
          </cell>
          <cell r="AH12">
            <v>150</v>
          </cell>
          <cell r="AI12">
            <v>160</v>
          </cell>
          <cell r="BD12" t="str">
            <v xml:space="preserve">  ﾃﾞ-ﾀを保存し、ﾒﾆｭ-画面へ戻ります。</v>
          </cell>
          <cell r="BE12" t="str">
            <v xml:space="preserve">  プリンタに印刷します。（用紙 B4 、ｼﾞｯｽﾝﾖｺ）</v>
          </cell>
          <cell r="BF12" t="str">
            <v xml:space="preserve">  ﾒﾆｭ-画面に戻ります。（保存しません）</v>
          </cell>
          <cell r="BG12" t="str">
            <v xml:space="preserve"> 保存のみします。</v>
          </cell>
          <cell r="BH12" t="str">
            <v xml:space="preserve"> 計算ｼ-ﾄを読み込みます。現在面は消去されます。</v>
          </cell>
          <cell r="BI12" t="str">
            <v>既存ﾃﾞ-ﾀの編集をします。（２ﾄﾞﾗｲﾌﾞにﾃﾞ-ﾀをいれてください。）</v>
          </cell>
        </row>
        <row r="13">
          <cell r="AB13">
            <v>6</v>
          </cell>
          <cell r="AC13">
            <v>3.2</v>
          </cell>
          <cell r="AD13">
            <v>2.88</v>
          </cell>
          <cell r="AE13">
            <v>2.6560000000000001</v>
          </cell>
          <cell r="AF13">
            <v>2.4320000000000004</v>
          </cell>
          <cell r="AG13">
            <v>2.2720000000000002</v>
          </cell>
          <cell r="AH13">
            <v>2.1120000000000001</v>
          </cell>
          <cell r="AI13">
            <v>1.9840000000000002</v>
          </cell>
        </row>
        <row r="14">
          <cell r="AB14">
            <v>8</v>
          </cell>
          <cell r="AC14">
            <v>5</v>
          </cell>
          <cell r="AD14">
            <v>4.5</v>
          </cell>
          <cell r="AE14">
            <v>4.1500000000000004</v>
          </cell>
          <cell r="AF14">
            <v>3.8000000000000003</v>
          </cell>
          <cell r="AG14">
            <v>3.5500000000000003</v>
          </cell>
          <cell r="AH14">
            <v>3.3000000000000003</v>
          </cell>
          <cell r="AI14">
            <v>3.1</v>
          </cell>
        </row>
        <row r="15">
          <cell r="AB15">
            <v>10</v>
          </cell>
          <cell r="AC15">
            <v>7.1</v>
          </cell>
          <cell r="AD15">
            <v>6.39</v>
          </cell>
          <cell r="AE15">
            <v>5.8929999999999998</v>
          </cell>
          <cell r="AF15">
            <v>5.3959999999999999</v>
          </cell>
          <cell r="AG15">
            <v>5.0410000000000004</v>
          </cell>
          <cell r="AH15">
            <v>4.6859999999999999</v>
          </cell>
          <cell r="AI15">
            <v>4.4020000000000001</v>
          </cell>
        </row>
        <row r="16">
          <cell r="AB16">
            <v>13</v>
          </cell>
          <cell r="AC16">
            <v>12.7</v>
          </cell>
          <cell r="AD16">
            <v>11.43</v>
          </cell>
          <cell r="AE16">
            <v>10.541</v>
          </cell>
          <cell r="AF16">
            <v>9.652000000000001</v>
          </cell>
          <cell r="AG16">
            <v>9.0170000000000012</v>
          </cell>
          <cell r="AH16">
            <v>8.3820000000000014</v>
          </cell>
          <cell r="AI16">
            <v>7.8740000000000006</v>
          </cell>
        </row>
        <row r="17">
          <cell r="AB17">
            <v>16</v>
          </cell>
          <cell r="AC17">
            <v>19.899999999999999</v>
          </cell>
          <cell r="AD17">
            <v>17.91</v>
          </cell>
          <cell r="AE17">
            <v>16.517000000000003</v>
          </cell>
          <cell r="AF17">
            <v>15.124000000000001</v>
          </cell>
          <cell r="AG17">
            <v>14.129000000000001</v>
          </cell>
          <cell r="AH17">
            <v>13.134</v>
          </cell>
          <cell r="AI17">
            <v>12.338000000000001</v>
          </cell>
        </row>
        <row r="18">
          <cell r="AB18">
            <v>19</v>
          </cell>
          <cell r="AC18">
            <v>28.700000000000003</v>
          </cell>
          <cell r="AD18">
            <v>25.830000000000002</v>
          </cell>
          <cell r="AE18">
            <v>23.821000000000002</v>
          </cell>
          <cell r="AF18">
            <v>21.812000000000001</v>
          </cell>
          <cell r="AG18">
            <v>20.377000000000002</v>
          </cell>
          <cell r="AH18">
            <v>18.942000000000004</v>
          </cell>
          <cell r="AI18">
            <v>17.794</v>
          </cell>
        </row>
        <row r="19">
          <cell r="AB19">
            <v>22</v>
          </cell>
          <cell r="AC19">
            <v>38.700000000000003</v>
          </cell>
          <cell r="AD19">
            <v>34.83</v>
          </cell>
          <cell r="AE19">
            <v>32.121000000000002</v>
          </cell>
          <cell r="AF19">
            <v>29.412000000000003</v>
          </cell>
          <cell r="AG19">
            <v>27.477000000000004</v>
          </cell>
          <cell r="AH19">
            <v>25.542000000000002</v>
          </cell>
          <cell r="AI19">
            <v>23.994</v>
          </cell>
          <cell r="BD19" t="str">
            <v>{MENU}FS{ESC}{ESC}{ESC}C:\~{?}~R</v>
          </cell>
        </row>
        <row r="20">
          <cell r="AB20">
            <v>25</v>
          </cell>
          <cell r="AC20">
            <v>50.7</v>
          </cell>
          <cell r="AD20">
            <v>45.63</v>
          </cell>
          <cell r="AE20">
            <v>42.081000000000003</v>
          </cell>
          <cell r="AF20">
            <v>38.532000000000004</v>
          </cell>
          <cell r="AG20">
            <v>35.997000000000007</v>
          </cell>
          <cell r="AH20">
            <v>33.462000000000003</v>
          </cell>
          <cell r="AI20">
            <v>31.434000000000001</v>
          </cell>
          <cell r="BD20" t="str">
            <v>{MENU}FR</v>
          </cell>
        </row>
        <row r="21">
          <cell r="AB21">
            <v>29</v>
          </cell>
          <cell r="AC21">
            <v>64.2</v>
          </cell>
          <cell r="AD21">
            <v>57.78</v>
          </cell>
          <cell r="AE21">
            <v>53.286000000000001</v>
          </cell>
          <cell r="AF21">
            <v>48.792000000000002</v>
          </cell>
          <cell r="AG21">
            <v>45.582000000000001</v>
          </cell>
          <cell r="AH21">
            <v>42.372</v>
          </cell>
          <cell r="AI21">
            <v>39.804000000000002</v>
          </cell>
          <cell r="BD21" t="str">
            <v>AUTO124.WJ2~</v>
          </cell>
        </row>
        <row r="22">
          <cell r="AB22">
            <v>32</v>
          </cell>
          <cell r="AC22">
            <v>79.400000000000006</v>
          </cell>
          <cell r="AD22">
            <v>71.460000000000008</v>
          </cell>
          <cell r="AE22">
            <v>65.902000000000015</v>
          </cell>
          <cell r="AF22">
            <v>60.344000000000008</v>
          </cell>
          <cell r="AG22">
            <v>56.374000000000009</v>
          </cell>
          <cell r="AH22">
            <v>52.404000000000003</v>
          </cell>
          <cell r="AI22">
            <v>49.228000000000002</v>
          </cell>
        </row>
        <row r="23">
          <cell r="AB23">
            <v>35</v>
          </cell>
          <cell r="AC23">
            <v>95.7</v>
          </cell>
          <cell r="AD23">
            <v>86.13</v>
          </cell>
          <cell r="AE23">
            <v>79.431000000000012</v>
          </cell>
          <cell r="AF23">
            <v>72.732000000000014</v>
          </cell>
          <cell r="AG23">
            <v>67.947000000000003</v>
          </cell>
          <cell r="AH23">
            <v>63.162000000000006</v>
          </cell>
          <cell r="AI23">
            <v>59.334000000000003</v>
          </cell>
        </row>
        <row r="24">
          <cell r="AB24">
            <v>38</v>
          </cell>
          <cell r="AC24">
            <v>114</v>
          </cell>
          <cell r="AD24">
            <v>102.60000000000001</v>
          </cell>
          <cell r="AE24">
            <v>94.62</v>
          </cell>
          <cell r="AF24">
            <v>86.640000000000015</v>
          </cell>
          <cell r="AG24">
            <v>80.940000000000012</v>
          </cell>
          <cell r="AH24">
            <v>75.240000000000009</v>
          </cell>
          <cell r="AI24">
            <v>70.680000000000007</v>
          </cell>
        </row>
        <row r="25">
          <cell r="AB25">
            <v>41</v>
          </cell>
          <cell r="AC25">
            <v>134</v>
          </cell>
          <cell r="AD25">
            <v>120.60000000000001</v>
          </cell>
          <cell r="AE25">
            <v>111.22000000000001</v>
          </cell>
          <cell r="AF25">
            <v>101.84</v>
          </cell>
          <cell r="AG25">
            <v>95.140000000000015</v>
          </cell>
          <cell r="AH25">
            <v>88.440000000000012</v>
          </cell>
          <cell r="AI25">
            <v>83.08</v>
          </cell>
        </row>
        <row r="26">
          <cell r="AB26">
            <v>0</v>
          </cell>
          <cell r="AC26">
            <v>1</v>
          </cell>
          <cell r="AD26">
            <v>2</v>
          </cell>
          <cell r="AE26">
            <v>3</v>
          </cell>
          <cell r="AF26">
            <v>4</v>
          </cell>
          <cell r="AG26">
            <v>5</v>
          </cell>
          <cell r="AH26">
            <v>6</v>
          </cell>
          <cell r="AI26">
            <v>7</v>
          </cell>
        </row>
        <row r="28">
          <cell r="BD28" t="str">
            <v>{MENU}PPGQ</v>
          </cell>
        </row>
        <row r="29">
          <cell r="BD29" t="str">
            <v>{MENUBRANCH MENU}</v>
          </cell>
        </row>
        <row r="30">
          <cell r="AB30" t="str">
            <v>左端上端</v>
          </cell>
          <cell r="AC30">
            <v>2.87</v>
          </cell>
          <cell r="AD30">
            <v>6</v>
          </cell>
          <cell r="AE30" t="str">
            <v>中央上端</v>
          </cell>
          <cell r="AF30">
            <v>2.87</v>
          </cell>
          <cell r="AG30">
            <v>6</v>
          </cell>
          <cell r="AH30" t="str">
            <v>右端上端</v>
          </cell>
          <cell r="AI30">
            <v>2.87</v>
          </cell>
        </row>
        <row r="31">
          <cell r="AB31" t="str">
            <v>左端下端</v>
          </cell>
          <cell r="AC31">
            <v>2.87</v>
          </cell>
          <cell r="AD31">
            <v>6</v>
          </cell>
          <cell r="AE31" t="str">
            <v>中央下端</v>
          </cell>
          <cell r="AF31">
            <v>2.87</v>
          </cell>
          <cell r="AG31">
            <v>6</v>
          </cell>
          <cell r="AH31" t="str">
            <v>右端下端</v>
          </cell>
          <cell r="AI31">
            <v>2.87</v>
          </cell>
        </row>
        <row r="32">
          <cell r="AB32" t="str">
            <v>ＳＴＰ</v>
          </cell>
          <cell r="AC32">
            <v>0.71</v>
          </cell>
        </row>
        <row r="35">
          <cell r="AB35" t="str">
            <v>・</v>
          </cell>
          <cell r="BD35" t="str">
            <v>{MENU}FR</v>
          </cell>
        </row>
        <row r="36">
          <cell r="BD36" t="str">
            <v>AUTO124.WJ2~</v>
          </cell>
        </row>
        <row r="47">
          <cell r="BD47" t="str">
            <v>{MENU}FS{ESC}{ESC}{ESC}C:\~{?}~R</v>
          </cell>
        </row>
        <row r="48">
          <cell r="BD48" t="str">
            <v>{MENUBRANCH MENU}</v>
          </cell>
        </row>
        <row r="55">
          <cell r="BD55" t="str">
            <v>{MENU}FR{FLUSH}C-HARI.WJ2~</v>
          </cell>
        </row>
        <row r="59">
          <cell r="BD59" t="str">
            <v>{MENU}FR{ESC}{ESC}C:\~</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鉄骨"/>
    </sheetNames>
    <sheetDataSet>
      <sheetData sheetId="0" refreshError="1">
        <row r="1">
          <cell r="A1" t="str">
            <v>記号</v>
          </cell>
          <cell r="B1" t="str">
            <v>H</v>
          </cell>
          <cell r="C1" t="str">
            <v>B</v>
          </cell>
          <cell r="D1" t="str">
            <v>t1</v>
          </cell>
          <cell r="E1" t="str">
            <v>t2</v>
          </cell>
          <cell r="F1" t="str">
            <v>DANMEN</v>
          </cell>
          <cell r="G1" t="str">
            <v>Ix</v>
          </cell>
          <cell r="H1" t="str">
            <v>Zx</v>
          </cell>
          <cell r="I1" t="str">
            <v>ib</v>
          </cell>
          <cell r="J1" t="str">
            <v>η</v>
          </cell>
          <cell r="K1" t="str">
            <v>ω</v>
          </cell>
          <cell r="L1" t="str">
            <v>iy</v>
          </cell>
          <cell r="M1" t="str">
            <v>Iy</v>
          </cell>
          <cell r="N1" t="str">
            <v>Zy</v>
          </cell>
          <cell r="O1" t="str">
            <v>h/Af</v>
          </cell>
          <cell r="P1" t="str">
            <v>ix</v>
          </cell>
          <cell r="Q1" t="str">
            <v>cy</v>
          </cell>
        </row>
        <row r="2">
          <cell r="A2">
            <v>1</v>
          </cell>
          <cell r="B2">
            <v>2</v>
          </cell>
          <cell r="C2">
            <v>3</v>
          </cell>
          <cell r="D2">
            <v>4</v>
          </cell>
          <cell r="E2">
            <v>5</v>
          </cell>
          <cell r="F2">
            <v>6</v>
          </cell>
          <cell r="G2">
            <v>7</v>
          </cell>
          <cell r="H2">
            <v>8</v>
          </cell>
          <cell r="I2">
            <v>9</v>
          </cell>
          <cell r="J2">
            <v>10</v>
          </cell>
          <cell r="K2">
            <v>11</v>
          </cell>
          <cell r="L2">
            <v>12</v>
          </cell>
          <cell r="M2">
            <v>13</v>
          </cell>
          <cell r="N2">
            <v>14</v>
          </cell>
          <cell r="O2">
            <v>15</v>
          </cell>
          <cell r="P2">
            <v>16</v>
          </cell>
          <cell r="Q2">
            <v>17</v>
          </cell>
        </row>
        <row r="3">
          <cell r="A3" t="str">
            <v>#</v>
          </cell>
          <cell r="B3">
            <v>0</v>
          </cell>
          <cell r="C3">
            <v>0</v>
          </cell>
          <cell r="D3">
            <v>0</v>
          </cell>
          <cell r="E3">
            <v>0</v>
          </cell>
          <cell r="F3">
            <v>0</v>
          </cell>
          <cell r="G3">
            <v>0</v>
          </cell>
          <cell r="H3">
            <v>0</v>
          </cell>
          <cell r="I3">
            <v>0</v>
          </cell>
          <cell r="K3">
            <v>0</v>
          </cell>
          <cell r="L3">
            <v>0</v>
          </cell>
          <cell r="M3">
            <v>0</v>
          </cell>
          <cell r="N3">
            <v>0</v>
          </cell>
          <cell r="O3">
            <v>0</v>
          </cell>
          <cell r="P3">
            <v>0</v>
          </cell>
          <cell r="Q3">
            <v>0</v>
          </cell>
        </row>
        <row r="4">
          <cell r="A4" t="str">
            <v>C- 60x30x10x1.6</v>
          </cell>
          <cell r="B4">
            <v>60</v>
          </cell>
          <cell r="C4">
            <v>30</v>
          </cell>
          <cell r="D4">
            <v>10</v>
          </cell>
          <cell r="E4">
            <v>1.6</v>
          </cell>
          <cell r="F4">
            <v>2.0720000000000001</v>
          </cell>
          <cell r="G4">
            <v>11.6</v>
          </cell>
          <cell r="H4">
            <v>3.88</v>
          </cell>
          <cell r="I4">
            <v>1.0000000000000001E-5</v>
          </cell>
          <cell r="K4">
            <v>1.6265200000000002</v>
          </cell>
          <cell r="L4">
            <v>1.1100000000000001</v>
          </cell>
          <cell r="M4">
            <v>2.56</v>
          </cell>
          <cell r="N4">
            <v>1.32</v>
          </cell>
          <cell r="O4">
            <v>9.3749999999999982</v>
          </cell>
          <cell r="Q4">
            <v>1.06</v>
          </cell>
        </row>
        <row r="5">
          <cell r="A5" t="str">
            <v>C- 60x30x10x2.3</v>
          </cell>
          <cell r="B5">
            <v>60</v>
          </cell>
          <cell r="C5">
            <v>30</v>
          </cell>
          <cell r="D5">
            <v>10</v>
          </cell>
          <cell r="E5">
            <v>2.2999999999999998</v>
          </cell>
          <cell r="F5">
            <v>2.8719999999999999</v>
          </cell>
          <cell r="G5">
            <v>15.6</v>
          </cell>
          <cell r="H5">
            <v>5.2</v>
          </cell>
          <cell r="I5">
            <v>1.0000000000000001E-5</v>
          </cell>
          <cell r="K5">
            <v>2.2545199999999999</v>
          </cell>
          <cell r="L5">
            <v>1.07</v>
          </cell>
          <cell r="M5">
            <v>3.32</v>
          </cell>
          <cell r="N5">
            <v>1.71</v>
          </cell>
          <cell r="O5">
            <v>6.5217391304347831</v>
          </cell>
          <cell r="Q5">
            <v>1.06</v>
          </cell>
        </row>
        <row r="6">
          <cell r="A6" t="str">
            <v>C- 75x45x15x1.6</v>
          </cell>
          <cell r="B6">
            <v>75</v>
          </cell>
          <cell r="C6">
            <v>45</v>
          </cell>
          <cell r="D6">
            <v>15</v>
          </cell>
          <cell r="E6">
            <v>1.6</v>
          </cell>
          <cell r="F6">
            <v>2.952</v>
          </cell>
          <cell r="G6">
            <v>27.1</v>
          </cell>
          <cell r="H6">
            <v>7.24</v>
          </cell>
          <cell r="I6">
            <v>1.0000000000000001E-5</v>
          </cell>
          <cell r="K6">
            <v>2.31732</v>
          </cell>
          <cell r="L6">
            <v>1.72</v>
          </cell>
          <cell r="M6">
            <v>8.7100000000000009</v>
          </cell>
          <cell r="N6">
            <v>3.13</v>
          </cell>
          <cell r="O6">
            <v>7.8124999999999982</v>
          </cell>
          <cell r="Q6">
            <v>1.72</v>
          </cell>
        </row>
        <row r="7">
          <cell r="A7" t="str">
            <v>C- 75x45x15x2.3</v>
          </cell>
          <cell r="B7">
            <v>75</v>
          </cell>
          <cell r="C7">
            <v>45</v>
          </cell>
          <cell r="D7">
            <v>15</v>
          </cell>
          <cell r="E7">
            <v>2.2999999999999998</v>
          </cell>
          <cell r="F7">
            <v>4.1369999999999996</v>
          </cell>
          <cell r="G7">
            <v>37.1</v>
          </cell>
          <cell r="H7">
            <v>9.9</v>
          </cell>
          <cell r="I7">
            <v>1.0000000000000001E-5</v>
          </cell>
          <cell r="K7">
            <v>3.2475449999999997</v>
          </cell>
          <cell r="L7">
            <v>1.69</v>
          </cell>
          <cell r="M7">
            <v>11.8</v>
          </cell>
          <cell r="N7">
            <v>4.24</v>
          </cell>
          <cell r="O7">
            <v>5.4347826086956523</v>
          </cell>
          <cell r="Q7">
            <v>1.72</v>
          </cell>
        </row>
        <row r="8">
          <cell r="A8" t="str">
            <v>C-100x50x20x1.6</v>
          </cell>
          <cell r="B8">
            <v>100</v>
          </cell>
          <cell r="C8">
            <v>50</v>
          </cell>
          <cell r="D8">
            <v>20</v>
          </cell>
          <cell r="E8">
            <v>1.6</v>
          </cell>
          <cell r="F8">
            <v>3.6720000000000002</v>
          </cell>
          <cell r="G8">
            <v>58.4</v>
          </cell>
          <cell r="H8">
            <v>11.7</v>
          </cell>
          <cell r="I8">
            <v>1.0000000000000001E-5</v>
          </cell>
          <cell r="K8">
            <v>2.8825200000000004</v>
          </cell>
          <cell r="L8">
            <v>1.95</v>
          </cell>
          <cell r="M8">
            <v>14</v>
          </cell>
          <cell r="N8">
            <v>4.47</v>
          </cell>
          <cell r="O8">
            <v>8.928571428571427</v>
          </cell>
          <cell r="Q8">
            <v>1.86</v>
          </cell>
        </row>
        <row r="9">
          <cell r="A9" t="str">
            <v>C-100x50x20x2.3</v>
          </cell>
          <cell r="B9">
            <v>100</v>
          </cell>
          <cell r="C9">
            <v>50</v>
          </cell>
          <cell r="D9">
            <v>20</v>
          </cell>
          <cell r="E9">
            <v>2.2999999999999998</v>
          </cell>
          <cell r="F9">
            <v>5.1719999999999997</v>
          </cell>
          <cell r="G9">
            <v>80.7</v>
          </cell>
          <cell r="H9">
            <v>16.100000000000001</v>
          </cell>
          <cell r="I9">
            <v>1.0000000000000001E-5</v>
          </cell>
          <cell r="K9">
            <v>4.0600199999999997</v>
          </cell>
          <cell r="L9">
            <v>1.92</v>
          </cell>
          <cell r="M9">
            <v>19</v>
          </cell>
          <cell r="N9">
            <v>6.06</v>
          </cell>
          <cell r="O9">
            <v>6.2111801242236027</v>
          </cell>
          <cell r="Q9">
            <v>1.86</v>
          </cell>
        </row>
        <row r="10">
          <cell r="A10" t="str">
            <v>C-100x50x20x3.2</v>
          </cell>
          <cell r="B10">
            <v>100</v>
          </cell>
          <cell r="C10">
            <v>50</v>
          </cell>
          <cell r="D10">
            <v>20</v>
          </cell>
          <cell r="E10">
            <v>3.2</v>
          </cell>
          <cell r="F10">
            <v>7.0069999999999997</v>
          </cell>
          <cell r="G10">
            <v>107</v>
          </cell>
          <cell r="H10">
            <v>21.3</v>
          </cell>
          <cell r="I10">
            <v>1.0000000000000001E-5</v>
          </cell>
          <cell r="K10">
            <v>5.5004949999999999</v>
          </cell>
          <cell r="L10">
            <v>1.87</v>
          </cell>
          <cell r="M10">
            <v>24.5</v>
          </cell>
          <cell r="N10">
            <v>7.81</v>
          </cell>
          <cell r="O10">
            <v>4.4642857142857135</v>
          </cell>
          <cell r="Q10">
            <v>1.86</v>
          </cell>
        </row>
        <row r="11">
          <cell r="A11" t="str">
            <v>C-100x50x20x4.0</v>
          </cell>
          <cell r="B11">
            <v>100</v>
          </cell>
          <cell r="C11">
            <v>50</v>
          </cell>
          <cell r="D11">
            <v>20</v>
          </cell>
          <cell r="E11">
            <v>4</v>
          </cell>
          <cell r="F11">
            <v>8.548</v>
          </cell>
          <cell r="G11">
            <v>127</v>
          </cell>
          <cell r="H11">
            <v>25.4</v>
          </cell>
          <cell r="I11">
            <v>1.0000000000000001E-5</v>
          </cell>
          <cell r="K11">
            <v>6.71</v>
          </cell>
          <cell r="L11">
            <v>1.83</v>
          </cell>
          <cell r="M11">
            <v>28.7</v>
          </cell>
          <cell r="N11">
            <v>9.1300000000000008</v>
          </cell>
          <cell r="O11">
            <v>3.5714285714285712</v>
          </cell>
          <cell r="Q11">
            <v>1.86</v>
          </cell>
        </row>
        <row r="12">
          <cell r="A12" t="str">
            <v>C-120x60x20x2.3</v>
          </cell>
          <cell r="B12">
            <v>120</v>
          </cell>
          <cell r="C12">
            <v>60</v>
          </cell>
          <cell r="D12">
            <v>20</v>
          </cell>
          <cell r="E12">
            <v>2.2999999999999998</v>
          </cell>
          <cell r="F12">
            <v>6.0919999999999996</v>
          </cell>
          <cell r="G12">
            <v>140</v>
          </cell>
          <cell r="H12">
            <v>23.3</v>
          </cell>
          <cell r="I12">
            <v>1.0000000000000001E-5</v>
          </cell>
          <cell r="K12">
            <v>4.7822199999999997</v>
          </cell>
          <cell r="L12">
            <v>2.27</v>
          </cell>
          <cell r="M12">
            <v>31.3</v>
          </cell>
          <cell r="N12">
            <v>8.1</v>
          </cell>
          <cell r="O12">
            <v>6.5217391304347831</v>
          </cell>
          <cell r="Q12">
            <v>2.13</v>
          </cell>
        </row>
        <row r="13">
          <cell r="A13" t="str">
            <v>C-120x60x20x3.2</v>
          </cell>
          <cell r="B13">
            <v>120</v>
          </cell>
          <cell r="C13">
            <v>60</v>
          </cell>
          <cell r="D13">
            <v>20</v>
          </cell>
          <cell r="E13">
            <v>3.2</v>
          </cell>
          <cell r="F13">
            <v>8.2870000000000008</v>
          </cell>
          <cell r="G13">
            <v>186</v>
          </cell>
          <cell r="H13">
            <v>31</v>
          </cell>
          <cell r="I13">
            <v>1.0000000000000001E-5</v>
          </cell>
          <cell r="K13">
            <v>6.5052950000000012</v>
          </cell>
          <cell r="L13">
            <v>2.2200000000000002</v>
          </cell>
          <cell r="M13">
            <v>40.9</v>
          </cell>
          <cell r="N13">
            <v>10.5</v>
          </cell>
          <cell r="O13">
            <v>4.6874999999999991</v>
          </cell>
          <cell r="Q13">
            <v>2.13</v>
          </cell>
        </row>
        <row r="14">
          <cell r="A14" t="str">
            <v>C-125x50x20x2.3</v>
          </cell>
          <cell r="B14">
            <v>125</v>
          </cell>
          <cell r="C14">
            <v>50</v>
          </cell>
          <cell r="D14">
            <v>20</v>
          </cell>
          <cell r="E14">
            <v>2.2999999999999998</v>
          </cell>
          <cell r="F14">
            <v>5.7469999999999999</v>
          </cell>
          <cell r="G14">
            <v>137</v>
          </cell>
          <cell r="H14">
            <v>21.9</v>
          </cell>
          <cell r="I14">
            <v>1.0000000000000001E-5</v>
          </cell>
          <cell r="K14">
            <v>4.5113950000000003</v>
          </cell>
          <cell r="L14">
            <v>1.89</v>
          </cell>
          <cell r="M14">
            <v>20.6</v>
          </cell>
          <cell r="N14">
            <v>6.22</v>
          </cell>
          <cell r="O14">
            <v>7.7639751552795033</v>
          </cell>
          <cell r="Q14">
            <v>1.68</v>
          </cell>
        </row>
        <row r="15">
          <cell r="A15" t="str">
            <v>C-125x50x20x3.2</v>
          </cell>
          <cell r="B15">
            <v>125</v>
          </cell>
          <cell r="C15">
            <v>50</v>
          </cell>
          <cell r="D15">
            <v>20</v>
          </cell>
          <cell r="E15">
            <v>3.2</v>
          </cell>
          <cell r="F15">
            <v>7.8070000000000004</v>
          </cell>
          <cell r="G15">
            <v>181</v>
          </cell>
          <cell r="H15">
            <v>29</v>
          </cell>
          <cell r="I15">
            <v>1.0000000000000001E-5</v>
          </cell>
          <cell r="K15">
            <v>6.1284950000000009</v>
          </cell>
          <cell r="L15">
            <v>1.85</v>
          </cell>
          <cell r="M15">
            <v>26.6</v>
          </cell>
          <cell r="N15">
            <v>8.02</v>
          </cell>
          <cell r="O15">
            <v>5.5803571428571423</v>
          </cell>
          <cell r="Q15">
            <v>1.68</v>
          </cell>
        </row>
        <row r="16">
          <cell r="A16" t="str">
            <v>C-150x50x20x2.3</v>
          </cell>
          <cell r="B16">
            <v>150</v>
          </cell>
          <cell r="C16">
            <v>50</v>
          </cell>
          <cell r="D16">
            <v>20</v>
          </cell>
          <cell r="E16">
            <v>2.2999999999999998</v>
          </cell>
          <cell r="F16">
            <v>6.3220000000000001</v>
          </cell>
          <cell r="G16">
            <v>210</v>
          </cell>
          <cell r="H16">
            <v>28</v>
          </cell>
          <cell r="I16">
            <v>1.0000000000000001E-5</v>
          </cell>
          <cell r="K16">
            <v>4.9627699999999999</v>
          </cell>
          <cell r="L16">
            <v>1.86</v>
          </cell>
          <cell r="M16">
            <v>21.9</v>
          </cell>
          <cell r="N16">
            <v>6.33</v>
          </cell>
          <cell r="O16">
            <v>9.316770186335404</v>
          </cell>
          <cell r="Q16">
            <v>1.54</v>
          </cell>
        </row>
        <row r="17">
          <cell r="A17" t="str">
            <v>C-150x50x20x3.2</v>
          </cell>
          <cell r="B17">
            <v>150</v>
          </cell>
          <cell r="C17">
            <v>50</v>
          </cell>
          <cell r="D17">
            <v>20</v>
          </cell>
          <cell r="E17">
            <v>3.2</v>
          </cell>
          <cell r="F17">
            <v>8.6069999999999993</v>
          </cell>
          <cell r="G17">
            <v>280</v>
          </cell>
          <cell r="H17">
            <v>37.4</v>
          </cell>
          <cell r="I17">
            <v>1.0000000000000001E-5</v>
          </cell>
          <cell r="K17">
            <v>6.7564950000000001</v>
          </cell>
          <cell r="L17">
            <v>1.81</v>
          </cell>
          <cell r="M17">
            <v>28.3</v>
          </cell>
          <cell r="N17">
            <v>8.19</v>
          </cell>
          <cell r="O17">
            <v>6.6964285714285712</v>
          </cell>
          <cell r="Q17">
            <v>1.54</v>
          </cell>
        </row>
        <row r="18">
          <cell r="A18" t="str">
            <v>C-150x50x20x4.0</v>
          </cell>
          <cell r="B18">
            <v>150</v>
          </cell>
          <cell r="C18">
            <v>50</v>
          </cell>
          <cell r="D18">
            <v>20</v>
          </cell>
          <cell r="E18">
            <v>4</v>
          </cell>
          <cell r="F18">
            <v>10.55</v>
          </cell>
          <cell r="G18">
            <v>337</v>
          </cell>
          <cell r="H18">
            <v>44.9</v>
          </cell>
          <cell r="I18">
            <v>1.0000000000000001E-5</v>
          </cell>
          <cell r="K18">
            <v>8.2799999999999994</v>
          </cell>
          <cell r="L18">
            <v>1.77</v>
          </cell>
          <cell r="M18">
            <v>33.1</v>
          </cell>
          <cell r="N18">
            <v>9.57</v>
          </cell>
          <cell r="O18">
            <v>5.3571428571428568</v>
          </cell>
          <cell r="Q18">
            <v>1.54</v>
          </cell>
        </row>
        <row r="19">
          <cell r="A19" t="str">
            <v>C-150x50x20x4.5</v>
          </cell>
          <cell r="B19">
            <v>150</v>
          </cell>
          <cell r="C19">
            <v>50</v>
          </cell>
          <cell r="D19">
            <v>20</v>
          </cell>
          <cell r="E19">
            <v>4.5</v>
          </cell>
          <cell r="F19">
            <v>11.72</v>
          </cell>
          <cell r="G19">
            <v>368</v>
          </cell>
          <cell r="H19">
            <v>49</v>
          </cell>
          <cell r="I19">
            <v>1.0000000000000001E-5</v>
          </cell>
          <cell r="K19">
            <v>9.1999999999999993</v>
          </cell>
          <cell r="L19">
            <v>1.75</v>
          </cell>
          <cell r="M19">
            <v>35.700000000000003</v>
          </cell>
          <cell r="N19">
            <v>10.5</v>
          </cell>
          <cell r="O19">
            <v>4.761904761904761</v>
          </cell>
          <cell r="Q19">
            <v>1.54</v>
          </cell>
        </row>
        <row r="22">
          <cell r="A22" t="str">
            <v>2C- 60x30x10x1.6</v>
          </cell>
          <cell r="B22">
            <v>60</v>
          </cell>
          <cell r="C22">
            <v>30</v>
          </cell>
          <cell r="D22">
            <v>10</v>
          </cell>
          <cell r="E22">
            <v>1.6</v>
          </cell>
          <cell r="F22">
            <v>4.1440000000000001</v>
          </cell>
          <cell r="G22">
            <v>23.2</v>
          </cell>
          <cell r="H22">
            <v>7.76</v>
          </cell>
          <cell r="I22">
            <v>1.0000000000000001E-5</v>
          </cell>
          <cell r="K22">
            <v>3.2530400000000004</v>
          </cell>
          <cell r="L22">
            <v>1.5359431094676768</v>
          </cell>
          <cell r="M22">
            <v>9.776198400000002</v>
          </cell>
          <cell r="N22">
            <v>3.2587328000000007</v>
          </cell>
        </row>
        <row r="23">
          <cell r="A23" t="str">
            <v>2C- 60x30x10x2.3</v>
          </cell>
          <cell r="B23">
            <v>60</v>
          </cell>
          <cell r="C23">
            <v>30</v>
          </cell>
          <cell r="D23">
            <v>10</v>
          </cell>
          <cell r="E23">
            <v>2.2999999999999998</v>
          </cell>
          <cell r="F23">
            <v>5.7439999999999998</v>
          </cell>
          <cell r="G23">
            <v>31.2</v>
          </cell>
          <cell r="H23">
            <v>10.4</v>
          </cell>
          <cell r="I23">
            <v>1.0000000000000001E-5</v>
          </cell>
          <cell r="K23">
            <v>4.5090399999999997</v>
          </cell>
          <cell r="L23">
            <v>1.5098307381752163</v>
          </cell>
          <cell r="M23">
            <v>13.0939584</v>
          </cell>
          <cell r="N23">
            <v>4.3646528</v>
          </cell>
        </row>
        <row r="24">
          <cell r="A24" t="str">
            <v>2C- 75x45x15x1.6</v>
          </cell>
          <cell r="B24">
            <v>75</v>
          </cell>
          <cell r="C24">
            <v>45</v>
          </cell>
          <cell r="D24">
            <v>15</v>
          </cell>
          <cell r="E24">
            <v>1.6</v>
          </cell>
          <cell r="F24">
            <v>5.9039999999999999</v>
          </cell>
          <cell r="G24">
            <v>54.2</v>
          </cell>
          <cell r="H24">
            <v>14.48</v>
          </cell>
          <cell r="I24">
            <v>1.0000000000000001E-5</v>
          </cell>
          <cell r="K24">
            <v>4.6346400000000001</v>
          </cell>
          <cell r="L24">
            <v>2.4308315460804879</v>
          </cell>
          <cell r="M24">
            <v>34.886393599999998</v>
          </cell>
          <cell r="N24">
            <v>7.7525319111111104</v>
          </cell>
        </row>
        <row r="25">
          <cell r="A25" t="str">
            <v>2C- 75x45x15x2.3</v>
          </cell>
          <cell r="B25">
            <v>75</v>
          </cell>
          <cell r="C25">
            <v>45</v>
          </cell>
          <cell r="D25">
            <v>15</v>
          </cell>
          <cell r="E25">
            <v>2.2999999999999998</v>
          </cell>
          <cell r="F25">
            <v>8.2739999999999991</v>
          </cell>
          <cell r="G25">
            <v>74.2</v>
          </cell>
          <cell r="H25">
            <v>19.8</v>
          </cell>
          <cell r="I25">
            <v>1.0000000000000001E-5</v>
          </cell>
          <cell r="K25">
            <v>6.4950899999999994</v>
          </cell>
          <cell r="L25">
            <v>2.4105411085614743</v>
          </cell>
          <cell r="M25">
            <v>48.077801600000001</v>
          </cell>
          <cell r="N25">
            <v>10.683955911111111</v>
          </cell>
        </row>
        <row r="26">
          <cell r="A26" t="str">
            <v>2C-100x50x20x1.6</v>
          </cell>
          <cell r="B26">
            <v>100</v>
          </cell>
          <cell r="C26">
            <v>50</v>
          </cell>
          <cell r="D26">
            <v>20</v>
          </cell>
          <cell r="E26">
            <v>1.6</v>
          </cell>
          <cell r="F26">
            <v>7.3440000000000003</v>
          </cell>
          <cell r="G26">
            <v>116.8</v>
          </cell>
          <cell r="H26">
            <v>23.4</v>
          </cell>
          <cell r="I26">
            <v>1.0000000000000001E-5</v>
          </cell>
          <cell r="K26">
            <v>5.7650400000000008</v>
          </cell>
          <cell r="L26">
            <v>2.6967083946132075</v>
          </cell>
          <cell r="M26">
            <v>53.407302400000006</v>
          </cell>
          <cell r="N26">
            <v>10.68146048</v>
          </cell>
        </row>
        <row r="27">
          <cell r="A27" t="str">
            <v>2C-100x50x20x2.3</v>
          </cell>
          <cell r="B27">
            <v>100</v>
          </cell>
          <cell r="C27">
            <v>50</v>
          </cell>
          <cell r="D27">
            <v>20</v>
          </cell>
          <cell r="E27">
            <v>2.2999999999999998</v>
          </cell>
          <cell r="F27">
            <v>10.343999999999999</v>
          </cell>
          <cell r="G27">
            <v>161.4</v>
          </cell>
          <cell r="H27">
            <v>32.200000000000003</v>
          </cell>
          <cell r="I27">
            <v>1.0000000000000001E-5</v>
          </cell>
          <cell r="K27">
            <v>8.1200399999999995</v>
          </cell>
          <cell r="L27">
            <v>2.6708102185500215</v>
          </cell>
          <cell r="M27">
            <v>73.786102400000004</v>
          </cell>
          <cell r="N27">
            <v>14.757220480000001</v>
          </cell>
        </row>
        <row r="28">
          <cell r="A28" t="str">
            <v>2C-100x50x20x3.2</v>
          </cell>
          <cell r="B28">
            <v>100</v>
          </cell>
          <cell r="C28">
            <v>50</v>
          </cell>
          <cell r="D28">
            <v>20</v>
          </cell>
          <cell r="E28">
            <v>3.2</v>
          </cell>
          <cell r="F28">
            <v>14.013999999999999</v>
          </cell>
          <cell r="G28">
            <v>214</v>
          </cell>
          <cell r="H28">
            <v>42.6</v>
          </cell>
          <cell r="I28">
            <v>1.0000000000000001E-5</v>
          </cell>
          <cell r="K28">
            <v>11.00099</v>
          </cell>
          <cell r="L28">
            <v>2.637442605347744</v>
          </cell>
          <cell r="M28">
            <v>97.482834400000002</v>
          </cell>
          <cell r="N28">
            <v>19.496566880000003</v>
          </cell>
        </row>
        <row r="29">
          <cell r="A29" t="str">
            <v>2C-100x50x20x4.0</v>
          </cell>
          <cell r="B29">
            <v>100</v>
          </cell>
          <cell r="C29">
            <v>50</v>
          </cell>
          <cell r="D29">
            <v>20</v>
          </cell>
          <cell r="E29">
            <v>4</v>
          </cell>
          <cell r="F29">
            <v>17.096</v>
          </cell>
          <cell r="G29">
            <v>254</v>
          </cell>
          <cell r="H29">
            <v>50.8</v>
          </cell>
          <cell r="I29">
            <v>1.0000000000000001E-5</v>
          </cell>
          <cell r="K29">
            <v>6.71</v>
          </cell>
          <cell r="L29">
            <v>2.6109596949739884</v>
          </cell>
          <cell r="M29">
            <v>116.54532160000001</v>
          </cell>
          <cell r="N29">
            <v>23.309064320000004</v>
          </cell>
        </row>
        <row r="30">
          <cell r="A30" t="str">
            <v>2C-120x60x20x2.3</v>
          </cell>
          <cell r="B30">
            <v>120</v>
          </cell>
          <cell r="C30">
            <v>60</v>
          </cell>
          <cell r="D30">
            <v>20</v>
          </cell>
          <cell r="E30">
            <v>2.2999999999999998</v>
          </cell>
          <cell r="F30">
            <v>12.183999999999999</v>
          </cell>
          <cell r="G30">
            <v>280</v>
          </cell>
          <cell r="H30">
            <v>46.6</v>
          </cell>
          <cell r="I30">
            <v>1.0000000000000001E-5</v>
          </cell>
          <cell r="K30">
            <v>9.5644399999999994</v>
          </cell>
          <cell r="L30">
            <v>3.1104317629238625</v>
          </cell>
          <cell r="M30">
            <v>117.87758959999999</v>
          </cell>
          <cell r="N30">
            <v>19.646264933333335</v>
          </cell>
        </row>
        <row r="31">
          <cell r="A31" t="str">
            <v>2C-120x60x20x3.2</v>
          </cell>
          <cell r="B31">
            <v>120</v>
          </cell>
          <cell r="C31">
            <v>60</v>
          </cell>
          <cell r="D31">
            <v>20</v>
          </cell>
          <cell r="E31">
            <v>3.2</v>
          </cell>
          <cell r="F31">
            <v>16.574000000000002</v>
          </cell>
          <cell r="G31">
            <v>372</v>
          </cell>
          <cell r="H31">
            <v>62</v>
          </cell>
          <cell r="I31">
            <v>1.0000000000000001E-5</v>
          </cell>
          <cell r="K31">
            <v>13.010590000000002</v>
          </cell>
          <cell r="L31">
            <v>3.0777168570631237</v>
          </cell>
          <cell r="M31">
            <v>156.99458060000001</v>
          </cell>
          <cell r="N31">
            <v>26.165763433333336</v>
          </cell>
        </row>
        <row r="32">
          <cell r="A32" t="str">
            <v>2C-125x50x20x2.3</v>
          </cell>
          <cell r="B32">
            <v>125</v>
          </cell>
          <cell r="C32">
            <v>50</v>
          </cell>
          <cell r="D32">
            <v>20</v>
          </cell>
          <cell r="E32">
            <v>2.2999999999999998</v>
          </cell>
          <cell r="F32">
            <v>11.494</v>
          </cell>
          <cell r="G32">
            <v>274</v>
          </cell>
          <cell r="H32">
            <v>43.8</v>
          </cell>
          <cell r="I32">
            <v>1.0000000000000001E-5</v>
          </cell>
          <cell r="K32">
            <v>9.0227900000000005</v>
          </cell>
          <cell r="L32">
            <v>2.5311813168034583</v>
          </cell>
          <cell r="M32">
            <v>73.640665600000005</v>
          </cell>
          <cell r="N32">
            <v>14.728133120000003</v>
          </cell>
        </row>
        <row r="33">
          <cell r="A33" t="str">
            <v>2C-125x50x20x3.2</v>
          </cell>
          <cell r="B33">
            <v>125</v>
          </cell>
          <cell r="C33">
            <v>50</v>
          </cell>
          <cell r="D33">
            <v>20</v>
          </cell>
          <cell r="E33">
            <v>3.2</v>
          </cell>
          <cell r="F33">
            <v>15.614000000000001</v>
          </cell>
          <cell r="G33">
            <v>362</v>
          </cell>
          <cell r="H33">
            <v>58</v>
          </cell>
          <cell r="I33">
            <v>1.0000000000000001E-5</v>
          </cell>
          <cell r="K33">
            <v>12.256990000000002</v>
          </cell>
          <cell r="L33">
            <v>2.4959163984120489</v>
          </cell>
          <cell r="M33">
            <v>97.268953600000003</v>
          </cell>
          <cell r="N33">
            <v>19.453790720000001</v>
          </cell>
        </row>
        <row r="34">
          <cell r="A34" t="str">
            <v>2C-150x50x20x2.3</v>
          </cell>
          <cell r="B34">
            <v>150</v>
          </cell>
          <cell r="C34">
            <v>50</v>
          </cell>
          <cell r="D34">
            <v>20</v>
          </cell>
          <cell r="E34">
            <v>2.2999999999999998</v>
          </cell>
          <cell r="F34">
            <v>12.644</v>
          </cell>
          <cell r="G34">
            <v>420</v>
          </cell>
          <cell r="H34">
            <v>56</v>
          </cell>
          <cell r="I34">
            <v>1.0000000000000001E-5</v>
          </cell>
          <cell r="K34">
            <v>9.9255399999999998</v>
          </cell>
          <cell r="L34">
            <v>2.4157180384417316</v>
          </cell>
          <cell r="M34">
            <v>73.786510399999997</v>
          </cell>
          <cell r="N34">
            <v>14.757302079999999</v>
          </cell>
        </row>
        <row r="35">
          <cell r="A35" t="str">
            <v>2C-150x50x20x3.2</v>
          </cell>
          <cell r="B35">
            <v>150</v>
          </cell>
          <cell r="C35">
            <v>50</v>
          </cell>
          <cell r="D35">
            <v>20</v>
          </cell>
          <cell r="E35">
            <v>3.2</v>
          </cell>
          <cell r="F35">
            <v>17.213999999999999</v>
          </cell>
          <cell r="G35">
            <v>560</v>
          </cell>
          <cell r="H35">
            <v>74.8</v>
          </cell>
          <cell r="I35">
            <v>1.0000000000000001E-5</v>
          </cell>
          <cell r="K35">
            <v>13.51299</v>
          </cell>
          <cell r="L35">
            <v>2.3789958759838536</v>
          </cell>
          <cell r="M35">
            <v>97.424722400000007</v>
          </cell>
          <cell r="N35">
            <v>19.484944480000003</v>
          </cell>
        </row>
        <row r="36">
          <cell r="A36" t="str">
            <v>2C-150x50x20x4.0</v>
          </cell>
          <cell r="B36">
            <v>150</v>
          </cell>
          <cell r="C36">
            <v>50</v>
          </cell>
          <cell r="D36">
            <v>20</v>
          </cell>
          <cell r="E36">
            <v>4</v>
          </cell>
          <cell r="F36">
            <v>21.1</v>
          </cell>
          <cell r="G36">
            <v>674</v>
          </cell>
          <cell r="H36">
            <v>89.8</v>
          </cell>
          <cell r="I36">
            <v>1.0000000000000001E-5</v>
          </cell>
          <cell r="K36">
            <v>8.2799999999999994</v>
          </cell>
          <cell r="L36">
            <v>2.3471345846145759</v>
          </cell>
          <cell r="M36">
            <v>116.24075999999999</v>
          </cell>
          <cell r="N36">
            <v>23.248151999999997</v>
          </cell>
        </row>
        <row r="37">
          <cell r="A37" t="str">
            <v>2C-150x50x20x4.5</v>
          </cell>
          <cell r="B37">
            <v>150</v>
          </cell>
          <cell r="C37">
            <v>50</v>
          </cell>
          <cell r="D37">
            <v>20</v>
          </cell>
          <cell r="E37">
            <v>4.5</v>
          </cell>
          <cell r="F37">
            <v>23.44</v>
          </cell>
          <cell r="G37">
            <v>736</v>
          </cell>
          <cell r="H37">
            <v>98</v>
          </cell>
          <cell r="I37">
            <v>1.0000000000000001E-5</v>
          </cell>
          <cell r="K37">
            <v>9.1999999999999993</v>
          </cell>
          <cell r="L37">
            <v>2.3275899736259889</v>
          </cell>
          <cell r="M37">
            <v>126.99030400000001</v>
          </cell>
          <cell r="N37">
            <v>25.3980608</v>
          </cell>
        </row>
        <row r="40">
          <cell r="A40" t="str">
            <v>[-100x50x2.3</v>
          </cell>
          <cell r="B40">
            <v>100</v>
          </cell>
          <cell r="C40">
            <v>50</v>
          </cell>
          <cell r="D40">
            <v>0</v>
          </cell>
          <cell r="E40">
            <v>2.2999999999999998</v>
          </cell>
          <cell r="F40">
            <v>4.4260000000000002</v>
          </cell>
          <cell r="G40">
            <v>69.900000000000006</v>
          </cell>
          <cell r="H40">
            <v>14</v>
          </cell>
          <cell r="I40">
            <v>1.0000000000000001E-5</v>
          </cell>
          <cell r="K40">
            <v>3.4744100000000002</v>
          </cell>
          <cell r="L40">
            <v>1.58</v>
          </cell>
          <cell r="M40">
            <v>11.1</v>
          </cell>
          <cell r="N40">
            <v>3.04</v>
          </cell>
          <cell r="O40">
            <v>8.695652173913043</v>
          </cell>
        </row>
        <row r="41">
          <cell r="A41" t="str">
            <v>[-100x50x3.2</v>
          </cell>
          <cell r="B41">
            <v>100</v>
          </cell>
          <cell r="C41">
            <v>50</v>
          </cell>
          <cell r="D41">
            <v>0</v>
          </cell>
          <cell r="E41">
            <v>3.2</v>
          </cell>
          <cell r="F41">
            <v>6.0629999999999997</v>
          </cell>
          <cell r="G41">
            <v>93.6</v>
          </cell>
          <cell r="H41">
            <v>18.7</v>
          </cell>
          <cell r="I41">
            <v>1.0000000000000001E-5</v>
          </cell>
          <cell r="K41">
            <v>4.759455</v>
          </cell>
          <cell r="L41">
            <v>1.57</v>
          </cell>
          <cell r="M41">
            <v>14.9</v>
          </cell>
          <cell r="N41">
            <v>4.1500000000000004</v>
          </cell>
          <cell r="O41">
            <v>6.25</v>
          </cell>
        </row>
        <row r="42">
          <cell r="A42" t="str">
            <v>[-150x50x2.3</v>
          </cell>
          <cell r="B42">
            <v>150</v>
          </cell>
          <cell r="C42">
            <v>50</v>
          </cell>
          <cell r="D42">
            <v>0</v>
          </cell>
          <cell r="E42">
            <v>2.2999999999999998</v>
          </cell>
          <cell r="F42">
            <v>5.5759999999999996</v>
          </cell>
          <cell r="G42">
            <v>181</v>
          </cell>
          <cell r="H42">
            <v>24.1</v>
          </cell>
          <cell r="I42">
            <v>1.0000000000000001E-5</v>
          </cell>
          <cell r="K42">
            <v>4.3771599999999999</v>
          </cell>
          <cell r="L42">
            <v>1.5</v>
          </cell>
          <cell r="M42">
            <v>12.5</v>
          </cell>
          <cell r="N42">
            <v>3.2</v>
          </cell>
          <cell r="O42">
            <v>13.043478260869565</v>
          </cell>
        </row>
        <row r="45">
          <cell r="A45" t="str">
            <v>2[-100x50x5x7.5</v>
          </cell>
          <cell r="B45">
            <v>100</v>
          </cell>
          <cell r="C45">
            <v>50</v>
          </cell>
          <cell r="D45">
            <v>5</v>
          </cell>
          <cell r="E45">
            <v>7.5</v>
          </cell>
          <cell r="F45">
            <v>23.84</v>
          </cell>
          <cell r="G45">
            <v>376</v>
          </cell>
          <cell r="H45">
            <v>75.2</v>
          </cell>
          <cell r="I45">
            <v>1.0000000000000001E-5</v>
          </cell>
          <cell r="K45">
            <v>18.714400000000001</v>
          </cell>
          <cell r="L45">
            <v>2.0654447657918409</v>
          </cell>
          <cell r="M45">
            <v>101.70292000000001</v>
          </cell>
          <cell r="N45">
            <v>20.340584</v>
          </cell>
        </row>
        <row r="46">
          <cell r="A46" t="str">
            <v>2[-125x65x6x8</v>
          </cell>
          <cell r="B46">
            <v>125</v>
          </cell>
          <cell r="C46">
            <v>65</v>
          </cell>
          <cell r="D46">
            <v>6</v>
          </cell>
          <cell r="E46">
            <v>8</v>
          </cell>
          <cell r="F46">
            <v>34.22</v>
          </cell>
          <cell r="G46">
            <v>848</v>
          </cell>
          <cell r="H46">
            <v>135.6</v>
          </cell>
          <cell r="I46">
            <v>1.0000000000000001E-5</v>
          </cell>
          <cell r="K46">
            <v>26.8627</v>
          </cell>
          <cell r="L46">
            <v>2.5873753922115923</v>
          </cell>
          <cell r="M46">
            <v>229.08618079999997</v>
          </cell>
          <cell r="N46">
            <v>35.244027815384612</v>
          </cell>
        </row>
        <row r="47">
          <cell r="A47" t="str">
            <v>2[-150x75x6.5x10</v>
          </cell>
          <cell r="B47">
            <v>150</v>
          </cell>
          <cell r="C47">
            <v>75</v>
          </cell>
          <cell r="D47">
            <v>6.5</v>
          </cell>
          <cell r="E47">
            <v>10</v>
          </cell>
          <cell r="F47">
            <v>47.42</v>
          </cell>
          <cell r="G47">
            <v>1722</v>
          </cell>
          <cell r="H47">
            <v>230</v>
          </cell>
          <cell r="I47">
            <v>1.0000000000000001E-5</v>
          </cell>
          <cell r="K47">
            <v>37.224700000000006</v>
          </cell>
          <cell r="L47">
            <v>2.963477712390405</v>
          </cell>
          <cell r="M47">
            <v>416.45193119999999</v>
          </cell>
          <cell r="N47">
            <v>55.52692416</v>
          </cell>
        </row>
        <row r="48">
          <cell r="A48" t="str">
            <v>2[-150x75x9x12.5</v>
          </cell>
          <cell r="B48">
            <v>150</v>
          </cell>
          <cell r="C48">
            <v>75</v>
          </cell>
          <cell r="D48">
            <v>9</v>
          </cell>
          <cell r="E48">
            <v>12.5</v>
          </cell>
          <cell r="F48">
            <v>61.18</v>
          </cell>
          <cell r="G48">
            <v>2100</v>
          </cell>
          <cell r="H48">
            <v>280</v>
          </cell>
          <cell r="I48">
            <v>1.0000000000000001E-5</v>
          </cell>
          <cell r="K48">
            <v>48.026299999999999</v>
          </cell>
          <cell r="L48">
            <v>2.6326528719458553</v>
          </cell>
          <cell r="M48">
            <v>424.0300848</v>
          </cell>
          <cell r="N48">
            <v>56.537344640000001</v>
          </cell>
        </row>
        <row r="49">
          <cell r="A49" t="str">
            <v>2[-180x75x7x10.5</v>
          </cell>
          <cell r="B49">
            <v>180</v>
          </cell>
          <cell r="C49">
            <v>75</v>
          </cell>
          <cell r="D49">
            <v>7</v>
          </cell>
          <cell r="E49">
            <v>10.5</v>
          </cell>
          <cell r="F49">
            <v>54.4</v>
          </cell>
          <cell r="G49">
            <v>2760</v>
          </cell>
          <cell r="H49">
            <v>306</v>
          </cell>
          <cell r="I49">
            <v>1.0000000000000001E-5</v>
          </cell>
          <cell r="K49">
            <v>42.704000000000001</v>
          </cell>
          <cell r="L49">
            <v>2.7627599358676269</v>
          </cell>
          <cell r="M49">
            <v>415.22663</v>
          </cell>
          <cell r="N49">
            <v>55.363550666666661</v>
          </cell>
        </row>
        <row r="50">
          <cell r="A50" t="str">
            <v>2[-200x80x7.5x11</v>
          </cell>
          <cell r="B50">
            <v>200</v>
          </cell>
          <cell r="C50">
            <v>80</v>
          </cell>
          <cell r="D50">
            <v>7.5</v>
          </cell>
          <cell r="E50">
            <v>11</v>
          </cell>
          <cell r="F50">
            <v>62.66</v>
          </cell>
          <cell r="G50">
            <v>3900</v>
          </cell>
          <cell r="H50">
            <v>390</v>
          </cell>
          <cell r="I50">
            <v>1.0000000000000001E-5</v>
          </cell>
          <cell r="K50">
            <v>49.188099999999999</v>
          </cell>
          <cell r="L50">
            <v>2.6838542345860712</v>
          </cell>
          <cell r="M50">
            <v>451.3445888</v>
          </cell>
          <cell r="N50">
            <v>56.4180736</v>
          </cell>
        </row>
        <row r="51">
          <cell r="A51" t="str">
            <v>2[-200x90x8x13.5</v>
          </cell>
          <cell r="B51">
            <v>200</v>
          </cell>
          <cell r="C51">
            <v>90</v>
          </cell>
          <cell r="D51">
            <v>8</v>
          </cell>
          <cell r="E51">
            <v>13.5</v>
          </cell>
          <cell r="F51">
            <v>77.3</v>
          </cell>
          <cell r="G51">
            <v>4980</v>
          </cell>
          <cell r="H51">
            <v>498</v>
          </cell>
          <cell r="I51">
            <v>1.0000000000000001E-5</v>
          </cell>
          <cell r="K51">
            <v>60.680500000000002</v>
          </cell>
          <cell r="L51">
            <v>3.2041558581411151</v>
          </cell>
          <cell r="M51">
            <v>793.60932120000007</v>
          </cell>
          <cell r="N51">
            <v>88.178813466666668</v>
          </cell>
        </row>
        <row r="54">
          <cell r="A54" t="str">
            <v>[-100x50x5x7.5</v>
          </cell>
          <cell r="B54">
            <v>100</v>
          </cell>
          <cell r="C54">
            <v>50</v>
          </cell>
          <cell r="D54">
            <v>5</v>
          </cell>
          <cell r="E54">
            <v>7.5</v>
          </cell>
          <cell r="F54">
            <v>11.92</v>
          </cell>
          <cell r="G54">
            <v>188</v>
          </cell>
          <cell r="H54">
            <v>37.6</v>
          </cell>
          <cell r="I54">
            <v>1.0000000000000001E-5</v>
          </cell>
          <cell r="K54">
            <v>9.3572000000000006</v>
          </cell>
          <cell r="L54">
            <v>1.48</v>
          </cell>
          <cell r="M54">
            <v>26</v>
          </cell>
          <cell r="N54">
            <v>7.52</v>
          </cell>
          <cell r="Q54">
            <v>1.55</v>
          </cell>
        </row>
        <row r="55">
          <cell r="A55" t="str">
            <v>[-125x65x6x8</v>
          </cell>
          <cell r="B55">
            <v>125</v>
          </cell>
          <cell r="C55">
            <v>65</v>
          </cell>
          <cell r="D55">
            <v>6</v>
          </cell>
          <cell r="E55">
            <v>8</v>
          </cell>
          <cell r="F55">
            <v>17.11</v>
          </cell>
          <cell r="G55">
            <v>424</v>
          </cell>
          <cell r="H55">
            <v>67.8</v>
          </cell>
          <cell r="I55">
            <v>1.0000000000000001E-5</v>
          </cell>
          <cell r="K55">
            <v>13.43135</v>
          </cell>
          <cell r="L55">
            <v>1.9</v>
          </cell>
          <cell r="M55">
            <v>61.8</v>
          </cell>
          <cell r="N55">
            <v>13.4</v>
          </cell>
          <cell r="Q55">
            <v>1.94</v>
          </cell>
        </row>
        <row r="56">
          <cell r="A56" t="str">
            <v>[-150x75x6.5x10</v>
          </cell>
          <cell r="B56">
            <v>150</v>
          </cell>
          <cell r="C56">
            <v>75</v>
          </cell>
          <cell r="D56">
            <v>6.5</v>
          </cell>
          <cell r="E56">
            <v>10</v>
          </cell>
          <cell r="F56">
            <v>23.71</v>
          </cell>
          <cell r="G56">
            <v>861</v>
          </cell>
          <cell r="H56">
            <v>115</v>
          </cell>
          <cell r="I56">
            <v>1.0000000000000001E-5</v>
          </cell>
          <cell r="K56">
            <v>18.612350000000003</v>
          </cell>
          <cell r="L56">
            <v>2.2200000000000002</v>
          </cell>
          <cell r="M56">
            <v>117</v>
          </cell>
          <cell r="N56">
            <v>22.4</v>
          </cell>
          <cell r="Q56">
            <v>2.31</v>
          </cell>
        </row>
        <row r="57">
          <cell r="A57" t="str">
            <v>[-150x75x9x12.5</v>
          </cell>
          <cell r="B57">
            <v>150</v>
          </cell>
          <cell r="C57">
            <v>75</v>
          </cell>
          <cell r="D57">
            <v>9</v>
          </cell>
          <cell r="E57">
            <v>12.5</v>
          </cell>
          <cell r="F57">
            <v>30.59</v>
          </cell>
          <cell r="G57">
            <v>1050</v>
          </cell>
          <cell r="H57">
            <v>140</v>
          </cell>
          <cell r="I57">
            <v>1.0000000000000001E-5</v>
          </cell>
          <cell r="K57">
            <v>24.01315</v>
          </cell>
          <cell r="L57">
            <v>2.19</v>
          </cell>
          <cell r="M57">
            <v>147</v>
          </cell>
          <cell r="N57">
            <v>28.3</v>
          </cell>
          <cell r="Q57">
            <v>2.31</v>
          </cell>
        </row>
        <row r="58">
          <cell r="A58" t="str">
            <v>[-180x75x7x10.5</v>
          </cell>
          <cell r="B58">
            <v>180</v>
          </cell>
          <cell r="C58">
            <v>75</v>
          </cell>
          <cell r="D58">
            <v>7</v>
          </cell>
          <cell r="E58">
            <v>10.5</v>
          </cell>
          <cell r="F58">
            <v>27.2</v>
          </cell>
          <cell r="G58">
            <v>1380</v>
          </cell>
          <cell r="H58">
            <v>153</v>
          </cell>
          <cell r="I58">
            <v>1.0000000000000001E-5</v>
          </cell>
          <cell r="K58">
            <v>21.352</v>
          </cell>
          <cell r="L58">
            <v>2.19</v>
          </cell>
          <cell r="M58">
            <v>131</v>
          </cell>
          <cell r="N58">
            <v>24.3</v>
          </cell>
          <cell r="Q58">
            <v>2.15</v>
          </cell>
        </row>
        <row r="59">
          <cell r="A59" t="str">
            <v>[-200x80x7.5x11</v>
          </cell>
          <cell r="B59">
            <v>200</v>
          </cell>
          <cell r="C59">
            <v>80</v>
          </cell>
          <cell r="D59">
            <v>7.5</v>
          </cell>
          <cell r="E59">
            <v>11</v>
          </cell>
          <cell r="F59">
            <v>31.33</v>
          </cell>
          <cell r="G59">
            <v>1950</v>
          </cell>
          <cell r="H59">
            <v>195</v>
          </cell>
          <cell r="I59">
            <v>1.0000000000000001E-5</v>
          </cell>
          <cell r="K59">
            <v>24.594049999999999</v>
          </cell>
          <cell r="L59">
            <v>2.3199999999999998</v>
          </cell>
          <cell r="M59">
            <v>168</v>
          </cell>
          <cell r="N59">
            <v>29.1</v>
          </cell>
          <cell r="Q59">
            <v>2.2400000000000002</v>
          </cell>
        </row>
        <row r="60">
          <cell r="A60" t="str">
            <v>[-200x90x8x13.5</v>
          </cell>
          <cell r="B60">
            <v>200</v>
          </cell>
          <cell r="C60">
            <v>90</v>
          </cell>
          <cell r="D60">
            <v>8</v>
          </cell>
          <cell r="E60">
            <v>13.5</v>
          </cell>
          <cell r="F60">
            <v>38.65</v>
          </cell>
          <cell r="G60">
            <v>2490</v>
          </cell>
          <cell r="H60">
            <v>249</v>
          </cell>
          <cell r="I60">
            <v>1.0000000000000001E-5</v>
          </cell>
          <cell r="K60">
            <v>30.340250000000001</v>
          </cell>
          <cell r="L60">
            <v>2.68</v>
          </cell>
          <cell r="M60">
            <v>277</v>
          </cell>
          <cell r="N60">
            <v>44.2</v>
          </cell>
          <cell r="Q60">
            <v>2.77</v>
          </cell>
        </row>
        <row r="63">
          <cell r="A63" t="str">
            <v>FB-3.0x40</v>
          </cell>
          <cell r="B63">
            <v>40</v>
          </cell>
          <cell r="C63">
            <v>3</v>
          </cell>
          <cell r="F63">
            <v>1.2</v>
          </cell>
        </row>
        <row r="64">
          <cell r="A64" t="str">
            <v>FB-3.0x60</v>
          </cell>
          <cell r="B64">
            <v>60</v>
          </cell>
          <cell r="C64">
            <v>3</v>
          </cell>
          <cell r="F64">
            <v>1.8</v>
          </cell>
        </row>
        <row r="65">
          <cell r="A65" t="str">
            <v>FB-6.0x50</v>
          </cell>
          <cell r="B65">
            <v>50</v>
          </cell>
          <cell r="C65">
            <v>6</v>
          </cell>
          <cell r="F65">
            <v>3</v>
          </cell>
        </row>
        <row r="66">
          <cell r="A66" t="str">
            <v>FB-6.0x75</v>
          </cell>
          <cell r="B66">
            <v>75</v>
          </cell>
          <cell r="C66">
            <v>6</v>
          </cell>
          <cell r="F66">
            <v>4.5</v>
          </cell>
        </row>
        <row r="67">
          <cell r="A67" t="str">
            <v>FB-9.0x75</v>
          </cell>
          <cell r="B67">
            <v>75</v>
          </cell>
          <cell r="C67">
            <v>9</v>
          </cell>
          <cell r="F67">
            <v>6.75</v>
          </cell>
        </row>
        <row r="69">
          <cell r="A69" t="str">
            <v>H-100x50x5x7</v>
          </cell>
          <cell r="B69">
            <v>100</v>
          </cell>
          <cell r="C69">
            <v>50</v>
          </cell>
          <cell r="D69">
            <v>5</v>
          </cell>
          <cell r="E69">
            <v>7</v>
          </cell>
          <cell r="F69">
            <v>11.85</v>
          </cell>
          <cell r="G69">
            <v>187</v>
          </cell>
          <cell r="H69">
            <v>37.5</v>
          </cell>
          <cell r="I69">
            <v>1.31</v>
          </cell>
          <cell r="J69">
            <v>3.75</v>
          </cell>
          <cell r="K69">
            <v>9.3022500000000008</v>
          </cell>
          <cell r="L69">
            <v>1.1200000000000001</v>
          </cell>
          <cell r="M69">
            <v>14.8</v>
          </cell>
          <cell r="N69">
            <v>5.91</v>
          </cell>
          <cell r="O69">
            <v>2.8571428571428572</v>
          </cell>
          <cell r="P69">
            <v>3.9724791651183744</v>
          </cell>
        </row>
        <row r="70">
          <cell r="A70" t="str">
            <v>H-100x100x6x8</v>
          </cell>
          <cell r="B70">
            <v>100</v>
          </cell>
          <cell r="C70">
            <v>100</v>
          </cell>
          <cell r="D70">
            <v>6</v>
          </cell>
          <cell r="E70">
            <v>8</v>
          </cell>
          <cell r="F70">
            <v>21.9</v>
          </cell>
          <cell r="G70">
            <v>383</v>
          </cell>
          <cell r="H70">
            <v>76.5</v>
          </cell>
          <cell r="I70">
            <v>2.73</v>
          </cell>
          <cell r="J70">
            <v>3.42</v>
          </cell>
          <cell r="K70">
            <v>17.2</v>
          </cell>
          <cell r="L70">
            <v>2.4700000000000002</v>
          </cell>
          <cell r="M70">
            <v>134</v>
          </cell>
          <cell r="N70">
            <v>26.7</v>
          </cell>
          <cell r="O70">
            <v>1.25</v>
          </cell>
          <cell r="P70">
            <v>4.1819354938695366</v>
          </cell>
        </row>
        <row r="71">
          <cell r="A71" t="str">
            <v>H-125x60x6x8</v>
          </cell>
          <cell r="B71">
            <v>125</v>
          </cell>
          <cell r="C71">
            <v>60</v>
          </cell>
          <cell r="D71">
            <v>6</v>
          </cell>
          <cell r="E71">
            <v>8</v>
          </cell>
          <cell r="F71">
            <v>16.84</v>
          </cell>
          <cell r="G71">
            <v>413</v>
          </cell>
          <cell r="H71">
            <v>66.099999999999994</v>
          </cell>
          <cell r="I71">
            <v>1.57</v>
          </cell>
          <cell r="J71">
            <v>4.08</v>
          </cell>
          <cell r="K71">
            <v>13.2194</v>
          </cell>
          <cell r="L71">
            <v>1.32</v>
          </cell>
          <cell r="M71">
            <v>29.2</v>
          </cell>
          <cell r="N71">
            <v>9.73</v>
          </cell>
          <cell r="O71">
            <v>2.6041666666666661</v>
          </cell>
          <cell r="P71">
            <v>4.952266210289709</v>
          </cell>
        </row>
        <row r="72">
          <cell r="A72" t="str">
            <v>H-125x125x6.5x9</v>
          </cell>
          <cell r="B72">
            <v>125</v>
          </cell>
          <cell r="C72">
            <v>125</v>
          </cell>
          <cell r="D72">
            <v>6.5</v>
          </cell>
          <cell r="E72">
            <v>9</v>
          </cell>
          <cell r="F72">
            <v>30.31</v>
          </cell>
          <cell r="G72">
            <v>847</v>
          </cell>
          <cell r="H72">
            <v>136</v>
          </cell>
          <cell r="I72">
            <v>3.43</v>
          </cell>
          <cell r="J72">
            <v>3.81</v>
          </cell>
          <cell r="K72">
            <v>23.8</v>
          </cell>
          <cell r="L72">
            <v>3.11</v>
          </cell>
          <cell r="M72">
            <v>293</v>
          </cell>
          <cell r="N72">
            <v>47</v>
          </cell>
          <cell r="O72">
            <v>1.1111111111111112</v>
          </cell>
          <cell r="P72">
            <v>5.2862626446543404</v>
          </cell>
        </row>
        <row r="73">
          <cell r="A73" t="str">
            <v>H-148x100x6x9</v>
          </cell>
          <cell r="B73">
            <v>148</v>
          </cell>
          <cell r="C73">
            <v>100</v>
          </cell>
          <cell r="D73">
            <v>6</v>
          </cell>
          <cell r="E73">
            <v>9</v>
          </cell>
          <cell r="F73">
            <v>26.84</v>
          </cell>
          <cell r="G73">
            <v>1020</v>
          </cell>
          <cell r="H73">
            <v>138</v>
          </cell>
          <cell r="I73">
            <v>2.68</v>
          </cell>
          <cell r="J73">
            <v>4.41</v>
          </cell>
          <cell r="K73">
            <v>21.069400000000002</v>
          </cell>
          <cell r="L73">
            <v>2.37</v>
          </cell>
          <cell r="M73">
            <v>151</v>
          </cell>
          <cell r="N73">
            <v>30.1</v>
          </cell>
          <cell r="O73">
            <v>1.6444444444444446</v>
          </cell>
          <cell r="P73">
            <v>6.1646557589156137</v>
          </cell>
        </row>
        <row r="74">
          <cell r="A74" t="str">
            <v>H-150x75x5x7</v>
          </cell>
          <cell r="B74">
            <v>150</v>
          </cell>
          <cell r="C74">
            <v>75</v>
          </cell>
          <cell r="D74">
            <v>5</v>
          </cell>
          <cell r="E74">
            <v>7</v>
          </cell>
          <cell r="F74">
            <v>17.850000000000001</v>
          </cell>
          <cell r="G74">
            <v>666</v>
          </cell>
          <cell r="H74">
            <v>88.8</v>
          </cell>
          <cell r="I74">
            <v>1.96</v>
          </cell>
          <cell r="J74">
            <v>5.6</v>
          </cell>
          <cell r="K74">
            <v>14.012250000000002</v>
          </cell>
          <cell r="L74">
            <v>1.66</v>
          </cell>
          <cell r="M74">
            <v>49.5</v>
          </cell>
          <cell r="N74">
            <v>13.2</v>
          </cell>
          <cell r="O74">
            <v>2.8571428571428572</v>
          </cell>
          <cell r="P74">
            <v>6.1082668875670372</v>
          </cell>
        </row>
        <row r="75">
          <cell r="A75" t="str">
            <v>H-175x90x5x8</v>
          </cell>
          <cell r="B75">
            <v>175</v>
          </cell>
          <cell r="C75">
            <v>90</v>
          </cell>
          <cell r="D75">
            <v>5</v>
          </cell>
          <cell r="E75">
            <v>8</v>
          </cell>
          <cell r="F75">
            <v>23.04</v>
          </cell>
          <cell r="G75">
            <v>1210</v>
          </cell>
          <cell r="H75">
            <v>139</v>
          </cell>
          <cell r="I75">
            <v>2.38</v>
          </cell>
          <cell r="J75">
            <v>5.78</v>
          </cell>
          <cell r="K75">
            <v>18.086400000000001</v>
          </cell>
          <cell r="L75">
            <v>2.06</v>
          </cell>
          <cell r="M75">
            <v>97.5</v>
          </cell>
          <cell r="N75">
            <v>21.7</v>
          </cell>
          <cell r="O75">
            <v>2.4305555555555554</v>
          </cell>
          <cell r="P75">
            <v>7.246886304552536</v>
          </cell>
        </row>
        <row r="76">
          <cell r="A76" t="str">
            <v>H-194x150x6x9</v>
          </cell>
          <cell r="B76">
            <v>194</v>
          </cell>
          <cell r="C76">
            <v>150</v>
          </cell>
          <cell r="D76">
            <v>6</v>
          </cell>
          <cell r="E76">
            <v>9</v>
          </cell>
          <cell r="F76">
            <v>39.01</v>
          </cell>
          <cell r="G76">
            <v>2690</v>
          </cell>
          <cell r="H76">
            <v>277</v>
          </cell>
          <cell r="I76">
            <v>4.03</v>
          </cell>
          <cell r="J76">
            <v>5.79</v>
          </cell>
          <cell r="K76">
            <v>30.62285</v>
          </cell>
          <cell r="L76">
            <v>3.61</v>
          </cell>
          <cell r="M76">
            <v>507</v>
          </cell>
          <cell r="N76">
            <v>67.599999999999994</v>
          </cell>
          <cell r="O76">
            <v>1.4370370370370371</v>
          </cell>
          <cell r="P76">
            <v>8.3040157619629742</v>
          </cell>
        </row>
        <row r="77">
          <cell r="A77" t="str">
            <v>H-198x99x4.5x7</v>
          </cell>
          <cell r="B77">
            <v>198</v>
          </cell>
          <cell r="C77">
            <v>99</v>
          </cell>
          <cell r="D77">
            <v>4.5</v>
          </cell>
          <cell r="E77">
            <v>7</v>
          </cell>
          <cell r="F77">
            <v>23.18</v>
          </cell>
          <cell r="G77">
            <v>1580</v>
          </cell>
          <cell r="H77">
            <v>160</v>
          </cell>
          <cell r="I77">
            <v>2.57</v>
          </cell>
          <cell r="J77">
            <v>7.33</v>
          </cell>
          <cell r="K77">
            <v>18.196300000000001</v>
          </cell>
          <cell r="L77">
            <v>2.21</v>
          </cell>
          <cell r="M77">
            <v>114</v>
          </cell>
          <cell r="N77">
            <v>23</v>
          </cell>
          <cell r="O77">
            <v>2.8571428571428572</v>
          </cell>
          <cell r="P77">
            <v>8.2560407460652865</v>
          </cell>
        </row>
        <row r="78">
          <cell r="A78" t="str">
            <v>H-200x100x5.5x8</v>
          </cell>
          <cell r="B78">
            <v>200</v>
          </cell>
          <cell r="C78">
            <v>100</v>
          </cell>
          <cell r="D78">
            <v>5.5</v>
          </cell>
          <cell r="E78">
            <v>8</v>
          </cell>
          <cell r="F78">
            <v>27.16</v>
          </cell>
          <cell r="G78">
            <v>1840</v>
          </cell>
          <cell r="H78">
            <v>184</v>
          </cell>
          <cell r="I78">
            <v>2.6</v>
          </cell>
          <cell r="J78">
            <v>6.49</v>
          </cell>
          <cell r="K78">
            <v>21.320600000000002</v>
          </cell>
          <cell r="L78">
            <v>2.2200000000000002</v>
          </cell>
          <cell r="M78">
            <v>134</v>
          </cell>
          <cell r="N78">
            <v>26.8</v>
          </cell>
          <cell r="O78">
            <v>2.5</v>
          </cell>
          <cell r="P78">
            <v>8.2308375213818508</v>
          </cell>
        </row>
        <row r="79">
          <cell r="A79" t="str">
            <v>H-200x200x8x12</v>
          </cell>
          <cell r="B79">
            <v>200</v>
          </cell>
          <cell r="C79">
            <v>200</v>
          </cell>
          <cell r="D79">
            <v>8</v>
          </cell>
          <cell r="E79">
            <v>12</v>
          </cell>
          <cell r="F79">
            <v>63.53</v>
          </cell>
          <cell r="G79">
            <v>4720</v>
          </cell>
          <cell r="H79">
            <v>472</v>
          </cell>
          <cell r="I79">
            <v>5.5</v>
          </cell>
          <cell r="J79">
            <v>4.59</v>
          </cell>
          <cell r="K79">
            <v>49.9</v>
          </cell>
          <cell r="L79">
            <v>5.0199999999999996</v>
          </cell>
          <cell r="M79">
            <v>1600</v>
          </cell>
          <cell r="N79">
            <v>160</v>
          </cell>
          <cell r="O79">
            <v>0.83333333333333337</v>
          </cell>
          <cell r="P79">
            <v>8.6194900298101462</v>
          </cell>
        </row>
        <row r="80">
          <cell r="A80" t="str">
            <v>H-200x204x12x12</v>
          </cell>
          <cell r="B80">
            <v>200</v>
          </cell>
          <cell r="C80">
            <v>204</v>
          </cell>
          <cell r="D80">
            <v>12</v>
          </cell>
          <cell r="E80">
            <v>12</v>
          </cell>
          <cell r="F80">
            <v>71.53</v>
          </cell>
          <cell r="G80">
            <v>4980</v>
          </cell>
          <cell r="H80">
            <v>498</v>
          </cell>
          <cell r="I80">
            <v>5.53</v>
          </cell>
          <cell r="J80">
            <v>4.5199999999999996</v>
          </cell>
          <cell r="K80">
            <v>56.2</v>
          </cell>
          <cell r="L80">
            <v>4.88</v>
          </cell>
          <cell r="M80">
            <v>1700</v>
          </cell>
          <cell r="N80">
            <v>167</v>
          </cell>
          <cell r="O80">
            <v>0.81699346405228745</v>
          </cell>
          <cell r="P80">
            <v>8.3439282106249344</v>
          </cell>
        </row>
        <row r="81">
          <cell r="A81" t="str">
            <v>H-244x175x7x11</v>
          </cell>
          <cell r="B81">
            <v>244</v>
          </cell>
          <cell r="C81">
            <v>175</v>
          </cell>
          <cell r="D81">
            <v>7</v>
          </cell>
          <cell r="E81">
            <v>11</v>
          </cell>
          <cell r="F81">
            <v>56.24</v>
          </cell>
          <cell r="G81">
            <v>6120</v>
          </cell>
          <cell r="H81">
            <v>502</v>
          </cell>
          <cell r="I81">
            <v>4.68</v>
          </cell>
          <cell r="J81">
            <v>5.94</v>
          </cell>
          <cell r="K81">
            <v>44.148400000000002</v>
          </cell>
          <cell r="L81">
            <v>4.18</v>
          </cell>
          <cell r="M81">
            <v>984</v>
          </cell>
          <cell r="N81">
            <v>113</v>
          </cell>
          <cell r="O81">
            <v>1.2675324675324677</v>
          </cell>
          <cell r="P81">
            <v>10.431651147419133</v>
          </cell>
        </row>
        <row r="82">
          <cell r="A82" t="str">
            <v>H-248x124x5x8</v>
          </cell>
          <cell r="B82">
            <v>248</v>
          </cell>
          <cell r="C82">
            <v>124</v>
          </cell>
          <cell r="D82">
            <v>5</v>
          </cell>
          <cell r="E82">
            <v>8</v>
          </cell>
          <cell r="F82">
            <v>32.68</v>
          </cell>
          <cell r="G82">
            <v>3540</v>
          </cell>
          <cell r="H82">
            <v>285</v>
          </cell>
          <cell r="I82">
            <v>3.23</v>
          </cell>
          <cell r="J82">
            <v>8.07</v>
          </cell>
          <cell r="K82">
            <v>25.6538</v>
          </cell>
          <cell r="L82">
            <v>2.79</v>
          </cell>
          <cell r="M82">
            <v>255</v>
          </cell>
          <cell r="N82">
            <v>41.1</v>
          </cell>
          <cell r="O82">
            <v>2.4999999999999996</v>
          </cell>
          <cell r="P82">
            <v>10.407839997565906</v>
          </cell>
        </row>
        <row r="83">
          <cell r="A83" t="str">
            <v>H-250x125x6x9</v>
          </cell>
          <cell r="B83">
            <v>250</v>
          </cell>
          <cell r="C83">
            <v>125</v>
          </cell>
          <cell r="D83">
            <v>6</v>
          </cell>
          <cell r="E83">
            <v>9</v>
          </cell>
          <cell r="F83">
            <v>37.659999999999997</v>
          </cell>
          <cell r="G83">
            <v>4050</v>
          </cell>
          <cell r="H83">
            <v>324</v>
          </cell>
          <cell r="I83">
            <v>3.26</v>
          </cell>
          <cell r="J83">
            <v>7.24</v>
          </cell>
          <cell r="K83">
            <v>29.563099999999999</v>
          </cell>
          <cell r="L83">
            <v>2.79</v>
          </cell>
          <cell r="M83">
            <v>294</v>
          </cell>
          <cell r="N83">
            <v>47</v>
          </cell>
          <cell r="O83">
            <v>2.2222222222222223</v>
          </cell>
          <cell r="P83">
            <v>10.370205288567403</v>
          </cell>
        </row>
        <row r="84">
          <cell r="A84" t="str">
            <v>H-294x200x8x12</v>
          </cell>
          <cell r="B84">
            <v>294</v>
          </cell>
          <cell r="C84">
            <v>200</v>
          </cell>
          <cell r="D84">
            <v>8</v>
          </cell>
          <cell r="E84">
            <v>12</v>
          </cell>
          <cell r="F84">
            <v>72.38</v>
          </cell>
          <cell r="G84">
            <v>11300</v>
          </cell>
          <cell r="H84">
            <v>771</v>
          </cell>
          <cell r="I84">
            <v>5.32</v>
          </cell>
          <cell r="J84">
            <v>6.51</v>
          </cell>
          <cell r="K84">
            <v>56.818300000000001</v>
          </cell>
          <cell r="L84">
            <v>4.71</v>
          </cell>
          <cell r="M84">
            <v>1600</v>
          </cell>
          <cell r="N84">
            <v>160</v>
          </cell>
          <cell r="O84">
            <v>1.2250000000000001</v>
          </cell>
          <cell r="P84">
            <v>12.494817936625225</v>
          </cell>
        </row>
        <row r="85">
          <cell r="A85" t="str">
            <v>H-298x149x5.5x8</v>
          </cell>
          <cell r="B85">
            <v>298</v>
          </cell>
          <cell r="C85">
            <v>149</v>
          </cell>
          <cell r="D85">
            <v>5.5</v>
          </cell>
          <cell r="E85">
            <v>8</v>
          </cell>
          <cell r="F85">
            <v>40.799999999999997</v>
          </cell>
          <cell r="G85">
            <v>6320</v>
          </cell>
          <cell r="H85">
            <v>424</v>
          </cell>
          <cell r="I85">
            <v>3.84</v>
          </cell>
          <cell r="J85">
            <v>9.61</v>
          </cell>
          <cell r="K85">
            <v>32.027999999999999</v>
          </cell>
          <cell r="L85">
            <v>3.29</v>
          </cell>
          <cell r="M85">
            <v>442</v>
          </cell>
          <cell r="N85">
            <v>59.3</v>
          </cell>
          <cell r="O85">
            <v>2.4999999999999996</v>
          </cell>
          <cell r="P85">
            <v>12.445961625535961</v>
          </cell>
        </row>
        <row r="86">
          <cell r="A86" t="str">
            <v>H-300x150x6.5x9</v>
          </cell>
          <cell r="B86">
            <v>300</v>
          </cell>
          <cell r="C86">
            <v>150</v>
          </cell>
          <cell r="D86">
            <v>6.5</v>
          </cell>
          <cell r="E86">
            <v>9</v>
          </cell>
          <cell r="F86">
            <v>46.78</v>
          </cell>
          <cell r="G86">
            <v>7210</v>
          </cell>
          <cell r="H86">
            <v>481</v>
          </cell>
          <cell r="I86">
            <v>3.87</v>
          </cell>
          <cell r="J86">
            <v>8.61</v>
          </cell>
          <cell r="K86">
            <v>36.722300000000004</v>
          </cell>
          <cell r="L86">
            <v>3.29</v>
          </cell>
          <cell r="M86">
            <v>508</v>
          </cell>
          <cell r="N86">
            <v>67.7</v>
          </cell>
          <cell r="O86">
            <v>2.2222222222222223</v>
          </cell>
          <cell r="P86">
            <v>12.414736998476545</v>
          </cell>
        </row>
        <row r="87">
          <cell r="A87" t="str">
            <v>H-340x250x9x14</v>
          </cell>
          <cell r="B87">
            <v>340</v>
          </cell>
          <cell r="C87">
            <v>250</v>
          </cell>
          <cell r="D87">
            <v>9</v>
          </cell>
          <cell r="E87">
            <v>14</v>
          </cell>
          <cell r="F87">
            <v>101.5</v>
          </cell>
          <cell r="G87">
            <v>21700</v>
          </cell>
          <cell r="H87">
            <v>1280</v>
          </cell>
          <cell r="I87">
            <v>6.71</v>
          </cell>
          <cell r="J87">
            <v>6.52</v>
          </cell>
          <cell r="K87">
            <v>79.677500000000009</v>
          </cell>
          <cell r="L87">
            <v>6</v>
          </cell>
          <cell r="M87">
            <v>3650</v>
          </cell>
          <cell r="N87">
            <v>292</v>
          </cell>
          <cell r="O87">
            <v>0.97142857142857142</v>
          </cell>
          <cell r="P87">
            <v>14.621665549733924</v>
          </cell>
        </row>
        <row r="88">
          <cell r="A88" t="str">
            <v>H-346x174x6x9</v>
          </cell>
          <cell r="B88">
            <v>346</v>
          </cell>
          <cell r="C88">
            <v>174</v>
          </cell>
          <cell r="D88">
            <v>6</v>
          </cell>
          <cell r="E88">
            <v>9</v>
          </cell>
          <cell r="F88">
            <v>52.68</v>
          </cell>
          <cell r="G88">
            <v>11100</v>
          </cell>
          <cell r="H88">
            <v>641</v>
          </cell>
          <cell r="I88">
            <v>4.51</v>
          </cell>
          <cell r="J88">
            <v>4.51</v>
          </cell>
          <cell r="K88">
            <v>41.3538</v>
          </cell>
          <cell r="L88">
            <v>3.88</v>
          </cell>
          <cell r="M88">
            <v>792</v>
          </cell>
          <cell r="N88">
            <v>91</v>
          </cell>
          <cell r="O88">
            <v>2.2094508301404847</v>
          </cell>
          <cell r="P88">
            <v>14.515720799935691</v>
          </cell>
        </row>
        <row r="89">
          <cell r="A89" t="str">
            <v>H-350x175x7x11</v>
          </cell>
          <cell r="B89">
            <v>350</v>
          </cell>
          <cell r="C89">
            <v>175</v>
          </cell>
          <cell r="D89">
            <v>7</v>
          </cell>
          <cell r="E89">
            <v>11</v>
          </cell>
          <cell r="F89">
            <v>63.14</v>
          </cell>
          <cell r="G89">
            <v>13600</v>
          </cell>
          <cell r="H89">
            <v>775</v>
          </cell>
          <cell r="I89">
            <v>4.58</v>
          </cell>
          <cell r="J89">
            <v>8.33</v>
          </cell>
          <cell r="K89">
            <v>49.564900000000002</v>
          </cell>
          <cell r="L89">
            <v>3.95</v>
          </cell>
          <cell r="M89">
            <v>984</v>
          </cell>
          <cell r="N89">
            <v>112</v>
          </cell>
          <cell r="O89">
            <v>1.8181818181818181</v>
          </cell>
          <cell r="P89">
            <v>14.676319761296602</v>
          </cell>
        </row>
        <row r="90">
          <cell r="A90" t="str">
            <v>H-354x176x8x13</v>
          </cell>
          <cell r="B90">
            <v>354</v>
          </cell>
          <cell r="C90">
            <v>176</v>
          </cell>
          <cell r="D90">
            <v>8</v>
          </cell>
          <cell r="E90">
            <v>13</v>
          </cell>
          <cell r="F90">
            <v>73.680000000000007</v>
          </cell>
          <cell r="G90">
            <v>16100</v>
          </cell>
          <cell r="H90">
            <v>909</v>
          </cell>
          <cell r="I90">
            <v>4.6500000000000004</v>
          </cell>
          <cell r="J90">
            <v>7.19</v>
          </cell>
          <cell r="K90">
            <v>57.838800000000006</v>
          </cell>
          <cell r="L90">
            <v>4.01</v>
          </cell>
          <cell r="M90">
            <v>1180</v>
          </cell>
          <cell r="N90">
            <v>134</v>
          </cell>
          <cell r="O90">
            <v>1.5472027972027971</v>
          </cell>
          <cell r="P90">
            <v>14.782167852781129</v>
          </cell>
        </row>
        <row r="91">
          <cell r="A91" t="str">
            <v>H-390x300x10x16</v>
          </cell>
          <cell r="B91">
            <v>390</v>
          </cell>
          <cell r="C91">
            <v>300</v>
          </cell>
          <cell r="D91">
            <v>10</v>
          </cell>
          <cell r="E91">
            <v>16</v>
          </cell>
          <cell r="F91">
            <v>136</v>
          </cell>
          <cell r="G91">
            <v>38700</v>
          </cell>
          <cell r="H91">
            <v>1980</v>
          </cell>
          <cell r="I91">
            <v>8.09</v>
          </cell>
          <cell r="J91">
            <v>6.58</v>
          </cell>
          <cell r="K91">
            <v>106.76</v>
          </cell>
          <cell r="L91">
            <v>7.28</v>
          </cell>
          <cell r="M91">
            <v>7210</v>
          </cell>
          <cell r="N91">
            <v>481</v>
          </cell>
          <cell r="O91">
            <v>0.8125</v>
          </cell>
          <cell r="P91">
            <v>16.868871436151611</v>
          </cell>
        </row>
        <row r="92">
          <cell r="A92" t="str">
            <v>H-396x199x7x11</v>
          </cell>
          <cell r="B92">
            <v>396</v>
          </cell>
          <cell r="C92">
            <v>199</v>
          </cell>
          <cell r="D92">
            <v>7</v>
          </cell>
          <cell r="E92">
            <v>11</v>
          </cell>
          <cell r="F92">
            <v>72.16</v>
          </cell>
          <cell r="G92">
            <v>20000</v>
          </cell>
          <cell r="H92">
            <v>1010</v>
          </cell>
          <cell r="I92">
            <v>5.19</v>
          </cell>
          <cell r="J92">
            <v>9.39</v>
          </cell>
          <cell r="K92">
            <v>56.645600000000002</v>
          </cell>
          <cell r="L92">
            <v>4.4800000000000004</v>
          </cell>
          <cell r="M92">
            <v>1450</v>
          </cell>
          <cell r="N92">
            <v>145</v>
          </cell>
          <cell r="O92">
            <v>1.8090452261306529</v>
          </cell>
          <cell r="P92">
            <v>16.648178955300672</v>
          </cell>
        </row>
        <row r="93">
          <cell r="A93" t="str">
            <v>H-400x200x8x13</v>
          </cell>
          <cell r="B93">
            <v>400</v>
          </cell>
          <cell r="C93">
            <v>200</v>
          </cell>
          <cell r="D93">
            <v>8</v>
          </cell>
          <cell r="E93">
            <v>13</v>
          </cell>
          <cell r="F93">
            <v>84.12</v>
          </cell>
          <cell r="G93">
            <v>23700</v>
          </cell>
          <cell r="H93">
            <v>1190</v>
          </cell>
          <cell r="I93">
            <v>5.26</v>
          </cell>
          <cell r="J93">
            <v>8.09</v>
          </cell>
          <cell r="K93">
            <v>66.034200000000013</v>
          </cell>
          <cell r="L93">
            <v>4.54</v>
          </cell>
          <cell r="M93">
            <v>1740</v>
          </cell>
          <cell r="N93">
            <v>174</v>
          </cell>
          <cell r="O93">
            <v>1.5384615384615385</v>
          </cell>
          <cell r="P93">
            <v>16.785123499656358</v>
          </cell>
        </row>
        <row r="94">
          <cell r="A94" t="str">
            <v>H-404x201x9x15</v>
          </cell>
          <cell r="B94">
            <v>404</v>
          </cell>
          <cell r="C94">
            <v>201</v>
          </cell>
          <cell r="D94">
            <v>9</v>
          </cell>
          <cell r="E94">
            <v>15</v>
          </cell>
          <cell r="F94">
            <v>96.16</v>
          </cell>
          <cell r="G94">
            <v>27500</v>
          </cell>
          <cell r="H94">
            <v>1360</v>
          </cell>
          <cell r="I94">
            <v>5.32</v>
          </cell>
          <cell r="J94">
            <v>7.12</v>
          </cell>
          <cell r="K94">
            <v>75.485600000000005</v>
          </cell>
          <cell r="L94">
            <v>4.5999999999999996</v>
          </cell>
          <cell r="M94">
            <v>2030</v>
          </cell>
          <cell r="N94">
            <v>202</v>
          </cell>
          <cell r="O94">
            <v>1.3399668325041461</v>
          </cell>
          <cell r="P94">
            <v>16.910993382157685</v>
          </cell>
        </row>
        <row r="95">
          <cell r="A95" t="str">
            <v>H-440x300x11x18</v>
          </cell>
          <cell r="B95">
            <v>440</v>
          </cell>
          <cell r="C95">
            <v>300</v>
          </cell>
          <cell r="D95">
            <v>11</v>
          </cell>
          <cell r="E95">
            <v>18</v>
          </cell>
          <cell r="F95">
            <v>157.4</v>
          </cell>
          <cell r="G95">
            <v>56100</v>
          </cell>
          <cell r="H95">
            <v>2550</v>
          </cell>
          <cell r="I95">
            <v>8.0500000000000007</v>
          </cell>
          <cell r="J95">
            <v>6.56</v>
          </cell>
          <cell r="K95">
            <v>123.55900000000001</v>
          </cell>
          <cell r="L95">
            <v>7.18</v>
          </cell>
          <cell r="M95">
            <v>8110</v>
          </cell>
          <cell r="N95">
            <v>541</v>
          </cell>
          <cell r="O95">
            <v>0.81481481481481477</v>
          </cell>
          <cell r="P95">
            <v>18.879003484135559</v>
          </cell>
        </row>
        <row r="96">
          <cell r="A96" t="str">
            <v>H-446x199x8x12</v>
          </cell>
          <cell r="B96">
            <v>446</v>
          </cell>
          <cell r="C96">
            <v>199</v>
          </cell>
          <cell r="D96">
            <v>8</v>
          </cell>
          <cell r="E96">
            <v>12</v>
          </cell>
          <cell r="F96">
            <v>84.3</v>
          </cell>
          <cell r="G96">
            <v>28700</v>
          </cell>
          <cell r="H96">
            <v>1290</v>
          </cell>
          <cell r="I96">
            <v>5.1100000000000003</v>
          </cell>
          <cell r="J96">
            <v>9.5399999999999991</v>
          </cell>
          <cell r="K96">
            <v>66.1755</v>
          </cell>
          <cell r="L96">
            <v>4.33</v>
          </cell>
          <cell r="M96">
            <v>1580</v>
          </cell>
          <cell r="N96">
            <v>159</v>
          </cell>
          <cell r="O96">
            <v>1.8676716917922946</v>
          </cell>
          <cell r="P96">
            <v>18.451308112319659</v>
          </cell>
        </row>
        <row r="97">
          <cell r="A97" t="str">
            <v>H-450x200x9x14</v>
          </cell>
          <cell r="B97">
            <v>450</v>
          </cell>
          <cell r="C97">
            <v>200</v>
          </cell>
          <cell r="D97">
            <v>9</v>
          </cell>
          <cell r="E97">
            <v>14</v>
          </cell>
          <cell r="F97">
            <v>96.76</v>
          </cell>
          <cell r="G97">
            <v>33500</v>
          </cell>
          <cell r="H97">
            <v>1490</v>
          </cell>
          <cell r="I97">
            <v>5.18</v>
          </cell>
          <cell r="J97">
            <v>8.32</v>
          </cell>
          <cell r="K97">
            <v>75.956600000000009</v>
          </cell>
          <cell r="L97">
            <v>4.4000000000000004</v>
          </cell>
          <cell r="M97">
            <v>1870</v>
          </cell>
          <cell r="N97">
            <v>187</v>
          </cell>
          <cell r="O97">
            <v>1.6071428571428572</v>
          </cell>
          <cell r="P97">
            <v>18.606919283570285</v>
          </cell>
        </row>
        <row r="98">
          <cell r="A98" t="str">
            <v>H-456x201x10x17</v>
          </cell>
          <cell r="B98">
            <v>456</v>
          </cell>
          <cell r="C98">
            <v>201</v>
          </cell>
          <cell r="D98">
            <v>10</v>
          </cell>
          <cell r="E98">
            <v>17</v>
          </cell>
          <cell r="F98">
            <v>113.3</v>
          </cell>
          <cell r="G98">
            <v>40400</v>
          </cell>
          <cell r="H98">
            <v>1770</v>
          </cell>
          <cell r="I98">
            <v>5.27</v>
          </cell>
          <cell r="J98">
            <v>7.04</v>
          </cell>
          <cell r="K98">
            <v>88.9405</v>
          </cell>
          <cell r="L98">
            <v>4.4000000000000004</v>
          </cell>
          <cell r="M98">
            <v>2310</v>
          </cell>
          <cell r="N98">
            <v>230</v>
          </cell>
          <cell r="O98">
            <v>1.3345039508340646</v>
          </cell>
          <cell r="P98">
            <v>18.883205855245553</v>
          </cell>
        </row>
        <row r="99">
          <cell r="A99" t="str">
            <v>H-482x300x11x15</v>
          </cell>
          <cell r="B99">
            <v>482</v>
          </cell>
          <cell r="C99">
            <v>300</v>
          </cell>
          <cell r="D99">
            <v>11</v>
          </cell>
          <cell r="E99">
            <v>15</v>
          </cell>
          <cell r="F99">
            <v>145.5</v>
          </cell>
          <cell r="G99">
            <v>60400</v>
          </cell>
          <cell r="H99">
            <v>2500</v>
          </cell>
          <cell r="I99">
            <v>7.83</v>
          </cell>
          <cell r="J99">
            <v>8.39</v>
          </cell>
          <cell r="K99">
            <v>114.2175</v>
          </cell>
          <cell r="L99">
            <v>6.82</v>
          </cell>
          <cell r="M99">
            <v>6760</v>
          </cell>
          <cell r="N99">
            <v>451</v>
          </cell>
          <cell r="O99">
            <v>1.0711111111111111</v>
          </cell>
          <cell r="P99">
            <v>20.374500605268569</v>
          </cell>
        </row>
        <row r="100">
          <cell r="A100" t="str">
            <v>H-488x300x11x18</v>
          </cell>
          <cell r="B100">
            <v>488</v>
          </cell>
          <cell r="C100">
            <v>300</v>
          </cell>
          <cell r="D100">
            <v>11</v>
          </cell>
          <cell r="E100">
            <v>18</v>
          </cell>
          <cell r="F100">
            <v>163.5</v>
          </cell>
          <cell r="G100">
            <v>71000</v>
          </cell>
          <cell r="H100">
            <v>2910</v>
          </cell>
          <cell r="I100">
            <v>7.97</v>
          </cell>
          <cell r="J100">
            <v>7.2</v>
          </cell>
          <cell r="K100">
            <v>128.3475</v>
          </cell>
          <cell r="L100">
            <v>7.04</v>
          </cell>
          <cell r="M100">
            <v>8110</v>
          </cell>
          <cell r="N100">
            <v>541</v>
          </cell>
          <cell r="O100">
            <v>0.90370370370370379</v>
          </cell>
          <cell r="P100">
            <v>20.838684328095042</v>
          </cell>
        </row>
        <row r="101">
          <cell r="A101" t="str">
            <v>H-496x199x9x14</v>
          </cell>
          <cell r="B101">
            <v>496</v>
          </cell>
          <cell r="C101">
            <v>199</v>
          </cell>
          <cell r="D101">
            <v>9</v>
          </cell>
          <cell r="E101">
            <v>14</v>
          </cell>
          <cell r="F101">
            <v>101.3</v>
          </cell>
          <cell r="G101">
            <v>41900</v>
          </cell>
          <cell r="H101">
            <v>1690</v>
          </cell>
          <cell r="I101">
            <v>5.08</v>
          </cell>
          <cell r="J101">
            <v>9.0399999999999991</v>
          </cell>
          <cell r="K101">
            <v>79.520499999999998</v>
          </cell>
          <cell r="L101">
            <v>4.2699999999999996</v>
          </cell>
          <cell r="M101">
            <v>1840</v>
          </cell>
          <cell r="N101">
            <v>185</v>
          </cell>
          <cell r="O101">
            <v>1.7803302225412776</v>
          </cell>
          <cell r="P101">
            <v>20.3377211670945</v>
          </cell>
        </row>
        <row r="102">
          <cell r="A102" t="str">
            <v>H-500x200x10x16</v>
          </cell>
          <cell r="B102">
            <v>500</v>
          </cell>
          <cell r="C102">
            <v>200</v>
          </cell>
          <cell r="D102">
            <v>10</v>
          </cell>
          <cell r="E102">
            <v>16</v>
          </cell>
          <cell r="F102">
            <v>114.2</v>
          </cell>
          <cell r="G102">
            <v>47800</v>
          </cell>
          <cell r="H102">
            <v>1910</v>
          </cell>
          <cell r="I102">
            <v>5.14</v>
          </cell>
          <cell r="J102">
            <v>8.0299999999999994</v>
          </cell>
          <cell r="K102">
            <v>89.647000000000006</v>
          </cell>
          <cell r="L102">
            <v>4.33</v>
          </cell>
          <cell r="M102">
            <v>2140</v>
          </cell>
          <cell r="N102">
            <v>214</v>
          </cell>
          <cell r="O102">
            <v>1.5625</v>
          </cell>
          <cell r="P102">
            <v>20.458834838333456</v>
          </cell>
        </row>
        <row r="103">
          <cell r="A103" t="str">
            <v>H-506x201x11x19</v>
          </cell>
          <cell r="B103">
            <v>506</v>
          </cell>
          <cell r="C103">
            <v>201</v>
          </cell>
          <cell r="D103">
            <v>11</v>
          </cell>
          <cell r="E103">
            <v>19</v>
          </cell>
          <cell r="F103">
            <v>131.30000000000001</v>
          </cell>
          <cell r="G103">
            <v>56500</v>
          </cell>
          <cell r="H103">
            <v>2230</v>
          </cell>
          <cell r="I103">
            <v>5.23</v>
          </cell>
          <cell r="J103">
            <v>6.93</v>
          </cell>
          <cell r="K103">
            <v>103.07050000000001</v>
          </cell>
          <cell r="L103">
            <v>4.43</v>
          </cell>
          <cell r="M103">
            <v>2580</v>
          </cell>
          <cell r="N103">
            <v>257</v>
          </cell>
          <cell r="O103">
            <v>1.3249541764859909</v>
          </cell>
          <cell r="P103">
            <v>20.743969292192617</v>
          </cell>
        </row>
        <row r="104">
          <cell r="A104" t="str">
            <v>H-582x300x12x17</v>
          </cell>
          <cell r="B104">
            <v>582</v>
          </cell>
          <cell r="C104">
            <v>300</v>
          </cell>
          <cell r="D104">
            <v>12</v>
          </cell>
          <cell r="E104">
            <v>17</v>
          </cell>
          <cell r="F104">
            <v>174.5</v>
          </cell>
          <cell r="G104">
            <v>103000</v>
          </cell>
          <cell r="H104">
            <v>3530</v>
          </cell>
          <cell r="I104">
            <v>7.74</v>
          </cell>
          <cell r="J104">
            <v>8.83</v>
          </cell>
          <cell r="K104">
            <v>136.98250000000002</v>
          </cell>
          <cell r="L104">
            <v>6.63</v>
          </cell>
          <cell r="M104">
            <v>7670</v>
          </cell>
          <cell r="N104">
            <v>511</v>
          </cell>
          <cell r="O104">
            <v>1.1411764705882355</v>
          </cell>
          <cell r="P104">
            <v>24.295223391773131</v>
          </cell>
        </row>
        <row r="105">
          <cell r="A105" t="str">
            <v>H-588x300x12x20</v>
          </cell>
          <cell r="B105">
            <v>588</v>
          </cell>
          <cell r="C105">
            <v>300</v>
          </cell>
          <cell r="D105">
            <v>12</v>
          </cell>
          <cell r="E105">
            <v>20</v>
          </cell>
          <cell r="F105">
            <v>192.5</v>
          </cell>
          <cell r="G105">
            <v>118000</v>
          </cell>
          <cell r="H105">
            <v>4020</v>
          </cell>
          <cell r="I105">
            <v>7.87</v>
          </cell>
          <cell r="J105">
            <v>7.71</v>
          </cell>
          <cell r="K105">
            <v>151.11250000000001</v>
          </cell>
          <cell r="L105">
            <v>6.85</v>
          </cell>
          <cell r="M105">
            <v>9020</v>
          </cell>
          <cell r="N105">
            <v>601</v>
          </cell>
          <cell r="O105">
            <v>0.98000000000000009</v>
          </cell>
          <cell r="P105">
            <v>24.758574534633713</v>
          </cell>
        </row>
        <row r="106">
          <cell r="A106" t="str">
            <v>H-594x302x14x23</v>
          </cell>
          <cell r="B106">
            <v>594</v>
          </cell>
          <cell r="C106">
            <v>302</v>
          </cell>
          <cell r="D106">
            <v>14</v>
          </cell>
          <cell r="E106">
            <v>23</v>
          </cell>
          <cell r="F106">
            <v>222.4</v>
          </cell>
          <cell r="G106">
            <v>137000</v>
          </cell>
          <cell r="H106">
            <v>4620</v>
          </cell>
          <cell r="I106">
            <v>7.96</v>
          </cell>
          <cell r="J106">
            <v>6.81</v>
          </cell>
          <cell r="K106">
            <v>174.584</v>
          </cell>
          <cell r="L106">
            <v>6.9</v>
          </cell>
          <cell r="M106">
            <v>10600</v>
          </cell>
          <cell r="N106">
            <v>701</v>
          </cell>
          <cell r="O106">
            <v>0.85516844226893174</v>
          </cell>
          <cell r="P106">
            <v>24.819492223746327</v>
          </cell>
        </row>
        <row r="107">
          <cell r="A107" t="str">
            <v>H-596x199x10x15</v>
          </cell>
          <cell r="B107">
            <v>596</v>
          </cell>
          <cell r="C107">
            <v>199</v>
          </cell>
          <cell r="D107">
            <v>10</v>
          </cell>
          <cell r="E107">
            <v>15</v>
          </cell>
          <cell r="F107">
            <v>120.5</v>
          </cell>
          <cell r="G107">
            <v>68700</v>
          </cell>
          <cell r="H107">
            <v>2310</v>
          </cell>
          <cell r="I107">
            <v>4.95</v>
          </cell>
          <cell r="J107">
            <v>9.8800000000000008</v>
          </cell>
          <cell r="K107">
            <v>94.592500000000001</v>
          </cell>
          <cell r="L107">
            <v>4.05</v>
          </cell>
          <cell r="M107">
            <v>1980</v>
          </cell>
          <cell r="N107">
            <v>199</v>
          </cell>
          <cell r="O107">
            <v>1.9966499162479057</v>
          </cell>
          <cell r="P107">
            <v>23.877279604841938</v>
          </cell>
        </row>
        <row r="108">
          <cell r="A108" t="str">
            <v>H-600x200x11x17</v>
          </cell>
          <cell r="B108">
            <v>600</v>
          </cell>
          <cell r="C108">
            <v>200</v>
          </cell>
          <cell r="D108">
            <v>11</v>
          </cell>
          <cell r="E108">
            <v>17</v>
          </cell>
          <cell r="F108">
            <v>134.4</v>
          </cell>
          <cell r="G108">
            <v>77600</v>
          </cell>
          <cell r="H108">
            <v>2590</v>
          </cell>
          <cell r="I108">
            <v>5.01</v>
          </cell>
          <cell r="J108">
            <v>8.85</v>
          </cell>
          <cell r="K108">
            <v>105.504</v>
          </cell>
          <cell r="L108">
            <v>4.12</v>
          </cell>
          <cell r="M108">
            <v>2280</v>
          </cell>
          <cell r="N108">
            <v>228</v>
          </cell>
          <cell r="O108">
            <v>1.7647058823529411</v>
          </cell>
          <cell r="P108">
            <v>24.028752618081374</v>
          </cell>
        </row>
        <row r="109">
          <cell r="A109" t="str">
            <v>H-606x201x12x20</v>
          </cell>
          <cell r="B109">
            <v>606</v>
          </cell>
          <cell r="C109">
            <v>201</v>
          </cell>
          <cell r="D109">
            <v>12</v>
          </cell>
          <cell r="E109">
            <v>20</v>
          </cell>
          <cell r="F109">
            <v>152.5</v>
          </cell>
          <cell r="G109">
            <v>90400</v>
          </cell>
          <cell r="H109">
            <v>2980</v>
          </cell>
          <cell r="I109">
            <v>5.1100000000000003</v>
          </cell>
          <cell r="J109">
            <v>7.7</v>
          </cell>
          <cell r="K109">
            <v>119.71250000000001</v>
          </cell>
          <cell r="L109">
            <v>4.22</v>
          </cell>
          <cell r="M109">
            <v>2720</v>
          </cell>
          <cell r="N109">
            <v>271</v>
          </cell>
          <cell r="O109">
            <v>1.5074626865671641</v>
          </cell>
          <cell r="P109">
            <v>24.347215143541604</v>
          </cell>
        </row>
        <row r="110">
          <cell r="A110" t="str">
            <v>H-612x202x13x23</v>
          </cell>
          <cell r="B110">
            <v>612</v>
          </cell>
          <cell r="C110">
            <v>202</v>
          </cell>
          <cell r="D110">
            <v>13</v>
          </cell>
          <cell r="E110">
            <v>23</v>
          </cell>
          <cell r="F110">
            <v>170.7</v>
          </cell>
          <cell r="G110">
            <v>10300</v>
          </cell>
          <cell r="H110">
            <v>3380</v>
          </cell>
          <cell r="I110">
            <v>5.19</v>
          </cell>
          <cell r="J110">
            <v>6.84</v>
          </cell>
          <cell r="K110">
            <v>133.99949999999998</v>
          </cell>
          <cell r="L110">
            <v>4.3099999999999996</v>
          </cell>
          <cell r="M110">
            <v>3180</v>
          </cell>
          <cell r="N110">
            <v>314</v>
          </cell>
          <cell r="O110">
            <v>1.3172621609987083</v>
          </cell>
          <cell r="P110">
            <v>7.7678682653112148</v>
          </cell>
        </row>
        <row r="111">
          <cell r="A111" t="str">
            <v>H-692x300x13x20</v>
          </cell>
          <cell r="B111">
            <v>692</v>
          </cell>
          <cell r="C111">
            <v>300</v>
          </cell>
          <cell r="D111">
            <v>13</v>
          </cell>
          <cell r="E111">
            <v>20</v>
          </cell>
          <cell r="F111">
            <v>211.5</v>
          </cell>
          <cell r="G111">
            <v>172000</v>
          </cell>
          <cell r="H111">
            <v>4980</v>
          </cell>
          <cell r="I111">
            <v>7.71</v>
          </cell>
          <cell r="J111">
            <v>8.9</v>
          </cell>
          <cell r="K111">
            <v>166.0275</v>
          </cell>
          <cell r="L111">
            <v>6.53</v>
          </cell>
          <cell r="M111">
            <v>9020</v>
          </cell>
          <cell r="N111">
            <v>602</v>
          </cell>
          <cell r="O111">
            <v>1.1533333333333333</v>
          </cell>
          <cell r="P111">
            <v>28.51734157816221</v>
          </cell>
        </row>
        <row r="112">
          <cell r="A112" t="str">
            <v>H-700x300x13x24</v>
          </cell>
          <cell r="B112">
            <v>700</v>
          </cell>
          <cell r="C112">
            <v>300</v>
          </cell>
          <cell r="D112">
            <v>13</v>
          </cell>
          <cell r="E112">
            <v>24</v>
          </cell>
          <cell r="F112">
            <v>235.5</v>
          </cell>
          <cell r="G112">
            <v>201000</v>
          </cell>
          <cell r="H112">
            <v>5760</v>
          </cell>
          <cell r="I112">
            <v>7.87</v>
          </cell>
          <cell r="J112">
            <v>7.65</v>
          </cell>
          <cell r="K112">
            <v>184.86750000000001</v>
          </cell>
          <cell r="L112">
            <v>6.78</v>
          </cell>
          <cell r="M112">
            <v>10800</v>
          </cell>
          <cell r="N112">
            <v>722</v>
          </cell>
          <cell r="O112">
            <v>0.97222222222222221</v>
          </cell>
          <cell r="P112">
            <v>29.214776821214567</v>
          </cell>
        </row>
        <row r="113">
          <cell r="A113" t="str">
            <v>H-708x302x15x28</v>
          </cell>
          <cell r="B113">
            <v>708</v>
          </cell>
          <cell r="C113">
            <v>302</v>
          </cell>
          <cell r="D113">
            <v>15</v>
          </cell>
          <cell r="E113">
            <v>28</v>
          </cell>
          <cell r="F113">
            <v>273.60000000000002</v>
          </cell>
          <cell r="G113">
            <v>237000</v>
          </cell>
          <cell r="H113">
            <v>6700</v>
          </cell>
          <cell r="I113">
            <v>7.97</v>
          </cell>
          <cell r="J113">
            <v>6.67</v>
          </cell>
          <cell r="K113">
            <v>214.77600000000004</v>
          </cell>
          <cell r="L113">
            <v>6.86</v>
          </cell>
          <cell r="M113">
            <v>12900</v>
          </cell>
          <cell r="N113">
            <v>853</v>
          </cell>
          <cell r="O113">
            <v>0.83727530747398282</v>
          </cell>
          <cell r="P113">
            <v>29.43175275404845</v>
          </cell>
        </row>
        <row r="114">
          <cell r="A114" t="str">
            <v>H-792x300x14x22</v>
          </cell>
          <cell r="B114">
            <v>792</v>
          </cell>
          <cell r="C114">
            <v>300</v>
          </cell>
          <cell r="D114">
            <v>14</v>
          </cell>
          <cell r="E114">
            <v>22</v>
          </cell>
          <cell r="F114">
            <v>243.4</v>
          </cell>
          <cell r="G114">
            <v>254000</v>
          </cell>
          <cell r="H114">
            <v>6410</v>
          </cell>
          <cell r="I114">
            <v>7.65</v>
          </cell>
          <cell r="J114">
            <v>9.18</v>
          </cell>
          <cell r="K114">
            <v>191.06900000000002</v>
          </cell>
          <cell r="L114">
            <v>6.39</v>
          </cell>
          <cell r="M114">
            <v>9930</v>
          </cell>
          <cell r="N114">
            <v>662</v>
          </cell>
          <cell r="O114">
            <v>1.2</v>
          </cell>
          <cell r="P114">
            <v>32.304020065737326</v>
          </cell>
        </row>
        <row r="115">
          <cell r="A115" t="str">
            <v>H-800x300x14x26</v>
          </cell>
          <cell r="B115">
            <v>800</v>
          </cell>
          <cell r="C115">
            <v>300</v>
          </cell>
          <cell r="D115">
            <v>14</v>
          </cell>
          <cell r="E115">
            <v>26</v>
          </cell>
          <cell r="F115">
            <v>267.39999999999998</v>
          </cell>
          <cell r="G115">
            <v>292000</v>
          </cell>
          <cell r="H115">
            <v>7290</v>
          </cell>
          <cell r="I115">
            <v>7.8</v>
          </cell>
          <cell r="J115">
            <v>8</v>
          </cell>
          <cell r="K115">
            <v>209.90899999999999</v>
          </cell>
          <cell r="L115">
            <v>6.62</v>
          </cell>
          <cell r="M115">
            <v>11700</v>
          </cell>
          <cell r="N115">
            <v>782</v>
          </cell>
          <cell r="O115">
            <v>1.0256410256410255</v>
          </cell>
          <cell r="P115">
            <v>33.045378016106504</v>
          </cell>
        </row>
        <row r="116">
          <cell r="A116" t="str">
            <v>H-808x302x16x30</v>
          </cell>
          <cell r="B116">
            <v>808</v>
          </cell>
          <cell r="C116">
            <v>302</v>
          </cell>
          <cell r="D116">
            <v>16</v>
          </cell>
          <cell r="E116">
            <v>30</v>
          </cell>
          <cell r="F116">
            <v>307.60000000000002</v>
          </cell>
          <cell r="G116">
            <v>339000</v>
          </cell>
          <cell r="H116">
            <v>8400</v>
          </cell>
          <cell r="I116">
            <v>7.89</v>
          </cell>
          <cell r="J116">
            <v>7.04</v>
          </cell>
          <cell r="K116">
            <v>241.46600000000004</v>
          </cell>
          <cell r="L116">
            <v>6.7</v>
          </cell>
          <cell r="M116">
            <v>13800</v>
          </cell>
          <cell r="N116">
            <v>915</v>
          </cell>
          <cell r="O116">
            <v>0.89183222958057384</v>
          </cell>
          <cell r="P116">
            <v>33.19759967508579</v>
          </cell>
        </row>
        <row r="117">
          <cell r="A117" t="str">
            <v>H-816x303x17x34</v>
          </cell>
          <cell r="B117">
            <v>816</v>
          </cell>
          <cell r="C117">
            <v>303</v>
          </cell>
          <cell r="D117">
            <v>17</v>
          </cell>
          <cell r="E117">
            <v>34</v>
          </cell>
          <cell r="F117">
            <v>339.9</v>
          </cell>
          <cell r="G117">
            <v>384000</v>
          </cell>
          <cell r="H117">
            <v>9400</v>
          </cell>
          <cell r="I117">
            <v>7.99</v>
          </cell>
          <cell r="J117">
            <v>6.33</v>
          </cell>
          <cell r="K117">
            <v>266.82150000000001</v>
          </cell>
          <cell r="L117">
            <v>6.82</v>
          </cell>
          <cell r="M117">
            <v>15800</v>
          </cell>
          <cell r="N117">
            <v>1040</v>
          </cell>
          <cell r="O117">
            <v>0.79207920792079212</v>
          </cell>
          <cell r="P117">
            <v>33.611665272125414</v>
          </cell>
        </row>
        <row r="118">
          <cell r="A118" t="str">
            <v>H-890x299x15x23</v>
          </cell>
          <cell r="B118">
            <v>890</v>
          </cell>
          <cell r="C118">
            <v>299</v>
          </cell>
          <cell r="D118">
            <v>15</v>
          </cell>
          <cell r="E118">
            <v>23</v>
          </cell>
          <cell r="F118">
            <v>270.89999999999998</v>
          </cell>
          <cell r="G118">
            <v>345000</v>
          </cell>
          <cell r="H118">
            <v>7760</v>
          </cell>
          <cell r="I118">
            <v>7.51</v>
          </cell>
          <cell r="J118">
            <v>9.7200000000000006</v>
          </cell>
          <cell r="K118">
            <v>212.65649999999999</v>
          </cell>
          <cell r="L118">
            <v>6.16</v>
          </cell>
          <cell r="M118">
            <v>10300</v>
          </cell>
          <cell r="N118">
            <v>688</v>
          </cell>
          <cell r="O118">
            <v>1.2941689690271918</v>
          </cell>
          <cell r="P118">
            <v>35.68658948234625</v>
          </cell>
        </row>
        <row r="119">
          <cell r="A119" t="str">
            <v>H-900x300x16x28</v>
          </cell>
          <cell r="B119">
            <v>900</v>
          </cell>
          <cell r="C119">
            <v>300</v>
          </cell>
          <cell r="D119">
            <v>16</v>
          </cell>
          <cell r="E119">
            <v>28</v>
          </cell>
          <cell r="F119">
            <v>309.8</v>
          </cell>
          <cell r="G119">
            <v>411000</v>
          </cell>
          <cell r="H119">
            <v>9140</v>
          </cell>
          <cell r="I119">
            <v>7.68</v>
          </cell>
          <cell r="J119">
            <v>8.23</v>
          </cell>
          <cell r="K119">
            <v>243.19300000000001</v>
          </cell>
          <cell r="L119">
            <v>6.39</v>
          </cell>
          <cell r="M119">
            <v>12600</v>
          </cell>
          <cell r="N119">
            <v>843</v>
          </cell>
          <cell r="O119">
            <v>1.0714285714285714</v>
          </cell>
          <cell r="P119">
            <v>36.423376598205707</v>
          </cell>
        </row>
        <row r="120">
          <cell r="A120" t="str">
            <v>H-912x302x18x34</v>
          </cell>
          <cell r="B120">
            <v>912</v>
          </cell>
          <cell r="C120">
            <v>302</v>
          </cell>
          <cell r="D120">
            <v>18</v>
          </cell>
          <cell r="E120">
            <v>34</v>
          </cell>
          <cell r="F120">
            <v>364</v>
          </cell>
          <cell r="G120">
            <v>498000</v>
          </cell>
          <cell r="H120">
            <v>10900</v>
          </cell>
          <cell r="I120">
            <v>7.84</v>
          </cell>
          <cell r="J120">
            <v>6.96</v>
          </cell>
          <cell r="K120">
            <v>285.74</v>
          </cell>
          <cell r="L120">
            <v>6.56</v>
          </cell>
          <cell r="M120">
            <v>15700</v>
          </cell>
          <cell r="N120">
            <v>1040</v>
          </cell>
          <cell r="O120">
            <v>0.888196338137904</v>
          </cell>
          <cell r="P120">
            <v>36.988266627835749</v>
          </cell>
        </row>
        <row r="121">
          <cell r="A121" t="str">
            <v>H-918x303x19x37</v>
          </cell>
          <cell r="B121">
            <v>918</v>
          </cell>
          <cell r="C121">
            <v>303</v>
          </cell>
          <cell r="D121">
            <v>19</v>
          </cell>
          <cell r="E121">
            <v>37</v>
          </cell>
          <cell r="F121">
            <v>391.3</v>
          </cell>
          <cell r="G121">
            <v>542000</v>
          </cell>
          <cell r="H121">
            <v>11800</v>
          </cell>
          <cell r="I121">
            <v>7.9</v>
          </cell>
          <cell r="J121">
            <v>6.47</v>
          </cell>
          <cell r="K121">
            <v>307.1705</v>
          </cell>
          <cell r="L121">
            <v>6.63</v>
          </cell>
          <cell r="M121">
            <v>17200</v>
          </cell>
          <cell r="N121">
            <v>1140</v>
          </cell>
          <cell r="O121">
            <v>0.81883864062081879</v>
          </cell>
          <cell r="P121">
            <v>37.217287668576432</v>
          </cell>
        </row>
        <row r="123">
          <cell r="A123" t="str">
            <v>L- 50x50x4</v>
          </cell>
          <cell r="B123">
            <v>50</v>
          </cell>
          <cell r="C123">
            <v>50</v>
          </cell>
          <cell r="D123">
            <v>4</v>
          </cell>
          <cell r="F123">
            <v>3.8919999999999999</v>
          </cell>
          <cell r="G123">
            <v>9.06</v>
          </cell>
          <cell r="H123">
            <v>2.4900000000000002</v>
          </cell>
          <cell r="I123">
            <v>1.0000000000000001E-5</v>
          </cell>
          <cell r="K123">
            <v>3.0552199999999998</v>
          </cell>
          <cell r="L123">
            <v>0.98</v>
          </cell>
        </row>
        <row r="124">
          <cell r="A124" t="str">
            <v>L- 50x50x6</v>
          </cell>
          <cell r="B124">
            <v>50</v>
          </cell>
          <cell r="C124">
            <v>50</v>
          </cell>
          <cell r="D124">
            <v>6</v>
          </cell>
          <cell r="F124">
            <v>5.6440000000000001</v>
          </cell>
          <cell r="G124">
            <v>12.6</v>
          </cell>
          <cell r="H124">
            <v>3.55</v>
          </cell>
          <cell r="I124">
            <v>0</v>
          </cell>
          <cell r="K124">
            <v>4.43</v>
          </cell>
          <cell r="L124">
            <v>0.96</v>
          </cell>
        </row>
        <row r="125">
          <cell r="A125" t="str">
            <v>L- 65x65x6</v>
          </cell>
          <cell r="B125">
            <v>65</v>
          </cell>
          <cell r="C125">
            <v>65</v>
          </cell>
          <cell r="D125">
            <v>6</v>
          </cell>
          <cell r="F125">
            <v>7.5270000000000001</v>
          </cell>
          <cell r="G125">
            <v>29.4</v>
          </cell>
          <cell r="H125">
            <v>6.27</v>
          </cell>
          <cell r="I125">
            <v>1.0000000000000001E-5</v>
          </cell>
          <cell r="K125">
            <v>5.9086950000000007</v>
          </cell>
          <cell r="L125">
            <v>1.19</v>
          </cell>
        </row>
        <row r="126">
          <cell r="A126" t="str">
            <v>L- 75x75x6</v>
          </cell>
          <cell r="B126">
            <v>75</v>
          </cell>
          <cell r="C126">
            <v>75</v>
          </cell>
          <cell r="D126">
            <v>6</v>
          </cell>
          <cell r="F126">
            <v>8.7270000000000003</v>
          </cell>
          <cell r="I126">
            <v>1.0000000000000001E-5</v>
          </cell>
          <cell r="K126">
            <v>6.8506950000000009</v>
          </cell>
          <cell r="L126">
            <v>1.48</v>
          </cell>
          <cell r="M126">
            <v>0</v>
          </cell>
          <cell r="N126">
            <v>0</v>
          </cell>
        </row>
        <row r="127">
          <cell r="A127" t="str">
            <v>L- 75x75x9</v>
          </cell>
          <cell r="B127">
            <v>75</v>
          </cell>
          <cell r="C127">
            <v>75</v>
          </cell>
          <cell r="D127">
            <v>9</v>
          </cell>
          <cell r="F127">
            <v>12.69</v>
          </cell>
          <cell r="G127">
            <v>64.400000000000006</v>
          </cell>
          <cell r="H127">
            <v>12.1</v>
          </cell>
          <cell r="I127">
            <v>1.0000000000000001E-5</v>
          </cell>
          <cell r="K127">
            <v>9.9616500000000006</v>
          </cell>
          <cell r="L127">
            <v>1.45</v>
          </cell>
        </row>
        <row r="128">
          <cell r="A128" t="str">
            <v>L- 90x90x6</v>
          </cell>
          <cell r="B128">
            <v>90</v>
          </cell>
          <cell r="C128">
            <v>90</v>
          </cell>
          <cell r="D128">
            <v>6</v>
          </cell>
          <cell r="F128">
            <v>10.55</v>
          </cell>
          <cell r="G128">
            <v>80.7</v>
          </cell>
          <cell r="H128">
            <v>12.3</v>
          </cell>
          <cell r="I128">
            <v>1.0000000000000001E-5</v>
          </cell>
          <cell r="K128">
            <v>8.2817500000000006</v>
          </cell>
          <cell r="L128">
            <v>1.78</v>
          </cell>
        </row>
        <row r="129">
          <cell r="A129" t="str">
            <v>L-90X90X7</v>
          </cell>
          <cell r="B129">
            <v>90</v>
          </cell>
          <cell r="C129">
            <v>90</v>
          </cell>
          <cell r="D129">
            <v>7</v>
          </cell>
          <cell r="F129">
            <v>12.22</v>
          </cell>
          <cell r="G129">
            <v>9.06</v>
          </cell>
          <cell r="H129">
            <v>2.4900000000000002</v>
          </cell>
          <cell r="I129">
            <v>1.0000000000000001E-5</v>
          </cell>
          <cell r="K129">
            <v>9.5927000000000007</v>
          </cell>
          <cell r="L129">
            <v>1.77</v>
          </cell>
        </row>
        <row r="130">
          <cell r="A130" t="str">
            <v>L-90X90X10</v>
          </cell>
          <cell r="B130">
            <v>90</v>
          </cell>
          <cell r="C130">
            <v>90</v>
          </cell>
          <cell r="D130">
            <v>10</v>
          </cell>
          <cell r="F130">
            <v>17</v>
          </cell>
          <cell r="I130">
            <v>0</v>
          </cell>
          <cell r="L130">
            <v>1.74</v>
          </cell>
        </row>
        <row r="131">
          <cell r="A131" t="str">
            <v>L-100X100X7</v>
          </cell>
          <cell r="B131">
            <v>100</v>
          </cell>
          <cell r="C131">
            <v>100</v>
          </cell>
          <cell r="D131">
            <v>7</v>
          </cell>
          <cell r="F131">
            <v>13.62</v>
          </cell>
          <cell r="I131">
            <v>0</v>
          </cell>
          <cell r="L131">
            <v>1.98</v>
          </cell>
        </row>
        <row r="132">
          <cell r="A132" t="str">
            <v>L-100X100X10</v>
          </cell>
          <cell r="B132">
            <v>100</v>
          </cell>
          <cell r="C132">
            <v>100</v>
          </cell>
          <cell r="D132">
            <v>10</v>
          </cell>
          <cell r="F132">
            <v>19</v>
          </cell>
          <cell r="I132">
            <v>0</v>
          </cell>
          <cell r="L132">
            <v>1.95</v>
          </cell>
        </row>
        <row r="133">
          <cell r="A133" t="str">
            <v>L-100X100X13</v>
          </cell>
          <cell r="B133">
            <v>100</v>
          </cell>
          <cell r="C133">
            <v>100</v>
          </cell>
          <cell r="D133">
            <v>13</v>
          </cell>
          <cell r="F133">
            <v>24.31</v>
          </cell>
          <cell r="I133">
            <v>0</v>
          </cell>
          <cell r="L133">
            <v>1.94</v>
          </cell>
        </row>
        <row r="135">
          <cell r="A135" t="str">
            <v>M-13</v>
          </cell>
          <cell r="F135">
            <v>0.89</v>
          </cell>
          <cell r="I135">
            <v>1E-4</v>
          </cell>
          <cell r="K135">
            <v>0.69864999999999999</v>
          </cell>
        </row>
        <row r="136">
          <cell r="A136" t="str">
            <v>M-16</v>
          </cell>
          <cell r="F136">
            <v>1.64</v>
          </cell>
          <cell r="I136">
            <v>1E-4</v>
          </cell>
          <cell r="K136">
            <v>1.2873999999999999</v>
          </cell>
        </row>
        <row r="137">
          <cell r="A137" t="str">
            <v>M-18</v>
          </cell>
          <cell r="F137">
            <v>2.04</v>
          </cell>
          <cell r="I137">
            <v>1E-4</v>
          </cell>
          <cell r="K137">
            <v>1.6014000000000002</v>
          </cell>
        </row>
        <row r="138">
          <cell r="A138" t="str">
            <v>M-20</v>
          </cell>
          <cell r="F138">
            <v>2.58</v>
          </cell>
          <cell r="I138">
            <v>1E-4</v>
          </cell>
          <cell r="K138">
            <v>2.0253000000000001</v>
          </cell>
        </row>
        <row r="139">
          <cell r="A139" t="str">
            <v>M-22</v>
          </cell>
          <cell r="F139">
            <v>3.18</v>
          </cell>
          <cell r="I139">
            <v>1E-4</v>
          </cell>
          <cell r="K139">
            <v>2.4963000000000002</v>
          </cell>
        </row>
        <row r="140">
          <cell r="A140" t="str">
            <v>M-24</v>
          </cell>
          <cell r="F140">
            <v>3.72</v>
          </cell>
          <cell r="I140">
            <v>1E-4</v>
          </cell>
          <cell r="K140">
            <v>2.9202000000000004</v>
          </cell>
        </row>
        <row r="141">
          <cell r="A141" t="str">
            <v>M-27</v>
          </cell>
          <cell r="F141">
            <v>4.82</v>
          </cell>
          <cell r="I141">
            <v>1E-4</v>
          </cell>
          <cell r="K141">
            <v>3.7837000000000005</v>
          </cell>
        </row>
        <row r="143">
          <cell r="A143" t="str">
            <v>P- 48.6x2.3</v>
          </cell>
          <cell r="B143">
            <v>48.6</v>
          </cell>
          <cell r="C143">
            <v>48.6</v>
          </cell>
          <cell r="D143">
            <v>2.2999999999999998</v>
          </cell>
          <cell r="F143">
            <v>3.35</v>
          </cell>
          <cell r="G143">
            <v>8.99</v>
          </cell>
          <cell r="H143">
            <v>3.7</v>
          </cell>
          <cell r="I143">
            <v>1E-4</v>
          </cell>
          <cell r="K143">
            <v>2.63</v>
          </cell>
          <cell r="L143">
            <v>1.64</v>
          </cell>
        </row>
        <row r="144">
          <cell r="A144" t="str">
            <v>P- 60.5x2.3</v>
          </cell>
          <cell r="B144">
            <v>60.5</v>
          </cell>
          <cell r="C144">
            <v>60.5</v>
          </cell>
          <cell r="D144">
            <v>2.2999999999999998</v>
          </cell>
          <cell r="F144">
            <v>4.21</v>
          </cell>
          <cell r="G144">
            <v>17.8</v>
          </cell>
          <cell r="H144">
            <v>5.9</v>
          </cell>
          <cell r="I144">
            <v>1E-4</v>
          </cell>
          <cell r="K144">
            <v>3.3</v>
          </cell>
          <cell r="L144">
            <v>2.06</v>
          </cell>
        </row>
        <row r="145">
          <cell r="A145" t="str">
            <v>P- 60.5x3.2</v>
          </cell>
          <cell r="B145">
            <v>60.5</v>
          </cell>
          <cell r="C145">
            <v>60.5</v>
          </cell>
          <cell r="D145">
            <v>3.2</v>
          </cell>
          <cell r="F145">
            <v>5.76</v>
          </cell>
          <cell r="G145">
            <v>23.7</v>
          </cell>
          <cell r="H145">
            <v>7.84</v>
          </cell>
          <cell r="I145">
            <v>1E-4</v>
          </cell>
          <cell r="K145">
            <v>4.5199999999999996</v>
          </cell>
          <cell r="L145">
            <v>2.0299999999999998</v>
          </cell>
        </row>
        <row r="146">
          <cell r="A146" t="str">
            <v>P- 76.3x2.8</v>
          </cell>
          <cell r="B146">
            <v>76.3</v>
          </cell>
          <cell r="C146">
            <v>76.3</v>
          </cell>
          <cell r="D146">
            <v>2.2999999999999998</v>
          </cell>
          <cell r="F146">
            <v>6.46</v>
          </cell>
          <cell r="G146">
            <v>43.7</v>
          </cell>
          <cell r="H146">
            <v>11.5</v>
          </cell>
          <cell r="I146">
            <v>1E-4</v>
          </cell>
          <cell r="K146">
            <v>5.08</v>
          </cell>
          <cell r="L146">
            <v>2.6</v>
          </cell>
        </row>
        <row r="147">
          <cell r="A147" t="str">
            <v>P- 76.3x3.2</v>
          </cell>
          <cell r="B147">
            <v>76.3</v>
          </cell>
          <cell r="C147">
            <v>76.3</v>
          </cell>
          <cell r="D147">
            <v>3.2</v>
          </cell>
          <cell r="F147">
            <v>7.35</v>
          </cell>
          <cell r="G147">
            <v>49.2</v>
          </cell>
          <cell r="H147">
            <v>12.9</v>
          </cell>
          <cell r="I147">
            <v>1E-4</v>
          </cell>
          <cell r="K147">
            <v>5.77</v>
          </cell>
          <cell r="L147">
            <v>2.59</v>
          </cell>
        </row>
        <row r="148">
          <cell r="A148" t="str">
            <v>P-139.8x4.5</v>
          </cell>
          <cell r="F148">
            <v>19.13</v>
          </cell>
          <cell r="I148">
            <v>1E-4</v>
          </cell>
          <cell r="K148">
            <v>15.017049999999999</v>
          </cell>
        </row>
        <row r="149">
          <cell r="A149" t="str">
            <v>P-165.2x4.5</v>
          </cell>
          <cell r="F149">
            <v>22.72</v>
          </cell>
          <cell r="I149">
            <v>1E-4</v>
          </cell>
          <cell r="K149">
            <v>17.8352</v>
          </cell>
        </row>
        <row r="151">
          <cell r="A151" t="str">
            <v>ﾛ- 50x50x1.6</v>
          </cell>
          <cell r="B151">
            <v>50</v>
          </cell>
          <cell r="C151">
            <v>50</v>
          </cell>
          <cell r="D151">
            <v>1.6</v>
          </cell>
          <cell r="F151">
            <v>3.032</v>
          </cell>
          <cell r="G151">
            <v>11.7</v>
          </cell>
          <cell r="H151">
            <v>4.68</v>
          </cell>
          <cell r="I151">
            <v>1E-4</v>
          </cell>
          <cell r="K151">
            <v>2.3801200000000002</v>
          </cell>
          <cell r="L151">
            <v>1.96</v>
          </cell>
          <cell r="M151">
            <v>11.7</v>
          </cell>
          <cell r="N151">
            <v>4.68</v>
          </cell>
          <cell r="O151">
            <v>1.0000000000000001E-5</v>
          </cell>
        </row>
        <row r="152">
          <cell r="A152" t="str">
            <v>ﾛ- 50x50x2.3</v>
          </cell>
          <cell r="B152">
            <v>50</v>
          </cell>
          <cell r="C152">
            <v>50</v>
          </cell>
          <cell r="D152">
            <v>2.2999999999999998</v>
          </cell>
          <cell r="F152">
            <v>4.2519999999999998</v>
          </cell>
          <cell r="G152">
            <v>15.9</v>
          </cell>
          <cell r="H152">
            <v>6.34</v>
          </cell>
          <cell r="I152">
            <v>1E-4</v>
          </cell>
          <cell r="K152">
            <v>3.3378199999999998</v>
          </cell>
          <cell r="L152">
            <v>1.93</v>
          </cell>
          <cell r="M152">
            <v>15.9</v>
          </cell>
          <cell r="N152">
            <v>6.34</v>
          </cell>
          <cell r="O152">
            <v>1.0000000000000001E-5</v>
          </cell>
        </row>
        <row r="153">
          <cell r="A153" t="str">
            <v>ﾛ- 50x50x3.2</v>
          </cell>
          <cell r="B153">
            <v>50</v>
          </cell>
          <cell r="C153">
            <v>50</v>
          </cell>
          <cell r="D153">
            <v>3.2</v>
          </cell>
          <cell r="F153">
            <v>5.7270000000000003</v>
          </cell>
          <cell r="G153">
            <v>20.399999999999999</v>
          </cell>
          <cell r="H153">
            <v>8.16</v>
          </cell>
          <cell r="I153">
            <v>1E-4</v>
          </cell>
          <cell r="K153">
            <v>4.4956950000000004</v>
          </cell>
          <cell r="L153">
            <v>1.89</v>
          </cell>
          <cell r="M153">
            <v>20.399999999999999</v>
          </cell>
          <cell r="N153">
            <v>8.16</v>
          </cell>
          <cell r="O153">
            <v>1.0000000000000001E-5</v>
          </cell>
        </row>
        <row r="154">
          <cell r="A154" t="str">
            <v>ﾛ- 60x60x1.6</v>
          </cell>
          <cell r="B154">
            <v>60</v>
          </cell>
          <cell r="C154">
            <v>60</v>
          </cell>
          <cell r="D154">
            <v>1.6</v>
          </cell>
          <cell r="F154">
            <v>3.6720000000000002</v>
          </cell>
          <cell r="G154">
            <v>20.7</v>
          </cell>
          <cell r="H154">
            <v>6.89</v>
          </cell>
          <cell r="I154">
            <v>1E-4</v>
          </cell>
          <cell r="K154">
            <v>2.8825200000000004</v>
          </cell>
          <cell r="L154">
            <v>2.37</v>
          </cell>
          <cell r="M154">
            <v>20.7</v>
          </cell>
          <cell r="N154">
            <v>6.89</v>
          </cell>
          <cell r="O154">
            <v>1.0000000000000001E-5</v>
          </cell>
        </row>
        <row r="155">
          <cell r="A155" t="str">
            <v>ﾛ- 60x60x2.3</v>
          </cell>
          <cell r="B155">
            <v>60</v>
          </cell>
          <cell r="C155">
            <v>60</v>
          </cell>
          <cell r="D155">
            <v>2.2999999999999998</v>
          </cell>
          <cell r="F155">
            <v>5.1719999999999997</v>
          </cell>
          <cell r="G155">
            <v>28.3</v>
          </cell>
          <cell r="H155">
            <v>9.44</v>
          </cell>
          <cell r="I155">
            <v>1E-4</v>
          </cell>
          <cell r="K155">
            <v>4.0600199999999997</v>
          </cell>
          <cell r="L155">
            <v>2.34</v>
          </cell>
          <cell r="M155">
            <v>28.3</v>
          </cell>
          <cell r="N155">
            <v>9.44</v>
          </cell>
          <cell r="O155">
            <v>1.0000000000000001E-5</v>
          </cell>
        </row>
        <row r="156">
          <cell r="A156" t="str">
            <v>ﾛ- 60x60x3.2</v>
          </cell>
          <cell r="B156">
            <v>60</v>
          </cell>
          <cell r="C156">
            <v>60</v>
          </cell>
          <cell r="D156">
            <v>3.2</v>
          </cell>
          <cell r="F156">
            <v>7.0069999999999997</v>
          </cell>
          <cell r="G156">
            <v>36.9</v>
          </cell>
          <cell r="H156">
            <v>12.3</v>
          </cell>
          <cell r="I156">
            <v>1E-4</v>
          </cell>
          <cell r="K156">
            <v>5.5004949999999999</v>
          </cell>
          <cell r="L156">
            <v>2.2999999999999998</v>
          </cell>
          <cell r="M156">
            <v>36.9</v>
          </cell>
          <cell r="N156">
            <v>12.3</v>
          </cell>
          <cell r="O156">
            <v>1.0000000000000001E-5</v>
          </cell>
        </row>
        <row r="157">
          <cell r="A157" t="str">
            <v>ﾛ- 60x60x5.0</v>
          </cell>
          <cell r="B157">
            <v>60</v>
          </cell>
          <cell r="C157">
            <v>60</v>
          </cell>
          <cell r="D157">
            <v>5</v>
          </cell>
          <cell r="F157">
            <v>10.14</v>
          </cell>
          <cell r="G157">
            <v>48.6</v>
          </cell>
          <cell r="H157">
            <v>16.2</v>
          </cell>
          <cell r="I157">
            <v>1E-4</v>
          </cell>
          <cell r="K157">
            <v>7.9599000000000011</v>
          </cell>
          <cell r="L157">
            <v>2.19</v>
          </cell>
          <cell r="M157">
            <v>48.6</v>
          </cell>
          <cell r="N157">
            <v>16.2</v>
          </cell>
          <cell r="O157">
            <v>1.0000000000000001E-5</v>
          </cell>
        </row>
        <row r="158">
          <cell r="A158" t="str">
            <v>ﾛ- 60x60x5.0 + C- 60x30x10x2.3(ﾖｺ)</v>
          </cell>
          <cell r="F158">
            <v>13.01</v>
          </cell>
          <cell r="G158">
            <v>64.2</v>
          </cell>
          <cell r="H158">
            <v>21.4</v>
          </cell>
          <cell r="I158">
            <v>1E-4</v>
          </cell>
          <cell r="K158">
            <v>10.21285</v>
          </cell>
          <cell r="L158">
            <v>2.2200000000000002</v>
          </cell>
          <cell r="M158">
            <v>106.5</v>
          </cell>
          <cell r="N158">
            <v>21.7</v>
          </cell>
          <cell r="O158">
            <v>1.0000000000000001E-5</v>
          </cell>
        </row>
        <row r="159">
          <cell r="A159" t="str">
            <v>ﾛ- 60x60x5.0 + C- 60x30x10x2.3(ﾀﾃ)</v>
          </cell>
          <cell r="F159">
            <v>13.01</v>
          </cell>
          <cell r="G159">
            <v>106.5</v>
          </cell>
          <cell r="H159">
            <v>21.7</v>
          </cell>
          <cell r="I159">
            <v>1E-4</v>
          </cell>
          <cell r="K159">
            <v>10.21285</v>
          </cell>
          <cell r="L159">
            <v>2.2200000000000002</v>
          </cell>
          <cell r="M159">
            <v>64.2</v>
          </cell>
          <cell r="N159">
            <v>21.4</v>
          </cell>
          <cell r="O159">
            <v>1.0000000000000001E-5</v>
          </cell>
        </row>
        <row r="160">
          <cell r="A160" t="str">
            <v>ﾛ- 60x60x5.0 + C- 60x30x10x2.3D(ﾖｺ)</v>
          </cell>
          <cell r="F160">
            <v>15.88</v>
          </cell>
          <cell r="G160">
            <v>79.8</v>
          </cell>
          <cell r="H160">
            <v>26.6</v>
          </cell>
          <cell r="I160">
            <v>1E-4</v>
          </cell>
          <cell r="K160">
            <v>12.465800000000002</v>
          </cell>
          <cell r="L160">
            <v>2.2400000000000002</v>
          </cell>
          <cell r="M160">
            <v>195.3</v>
          </cell>
          <cell r="N160">
            <v>32.5</v>
          </cell>
          <cell r="O160">
            <v>1.0000000000000001E-5</v>
          </cell>
        </row>
        <row r="161">
          <cell r="A161" t="str">
            <v>ﾛ- 60x60x3.2D</v>
          </cell>
          <cell r="F161">
            <v>14.013999999999999</v>
          </cell>
          <cell r="G161">
            <v>199.9</v>
          </cell>
          <cell r="H161">
            <v>33.299999999999997</v>
          </cell>
          <cell r="I161">
            <v>1E-4</v>
          </cell>
          <cell r="K161">
            <v>11.00099</v>
          </cell>
          <cell r="L161">
            <v>2.29</v>
          </cell>
          <cell r="M161">
            <v>73.8</v>
          </cell>
          <cell r="N161">
            <v>24.6</v>
          </cell>
          <cell r="O161">
            <v>1.0000000000000001E-5</v>
          </cell>
        </row>
        <row r="162">
          <cell r="A162" t="str">
            <v>ﾛ- 60x60x5.0D</v>
          </cell>
          <cell r="F162">
            <v>20.28</v>
          </cell>
          <cell r="G162">
            <v>279.7</v>
          </cell>
          <cell r="H162">
            <v>46.6</v>
          </cell>
          <cell r="I162">
            <v>1E-4</v>
          </cell>
          <cell r="K162">
            <v>15.919800000000002</v>
          </cell>
          <cell r="L162">
            <v>2.19</v>
          </cell>
          <cell r="M162">
            <v>97.2</v>
          </cell>
          <cell r="N162">
            <v>32.4</v>
          </cell>
          <cell r="O162">
            <v>1.0000000000000001E-5</v>
          </cell>
        </row>
        <row r="163">
          <cell r="A163" t="str">
            <v>ﾛ- 60x60x5.0D + C- 60x30x10x2.3</v>
          </cell>
          <cell r="F163">
            <v>23.15</v>
          </cell>
          <cell r="G163">
            <v>318</v>
          </cell>
          <cell r="H163">
            <v>49.9</v>
          </cell>
          <cell r="I163">
            <v>1E-4</v>
          </cell>
          <cell r="K163">
            <v>18.172750000000001</v>
          </cell>
          <cell r="L163">
            <v>2.57</v>
          </cell>
          <cell r="M163">
            <v>161.9</v>
          </cell>
          <cell r="N163">
            <v>32.4</v>
          </cell>
          <cell r="O163">
            <v>1.0000000000000001E-5</v>
          </cell>
        </row>
        <row r="164">
          <cell r="A164" t="str">
            <v>ﾛ- 60x60x5.0D + C- 60x30x10x2.3D</v>
          </cell>
          <cell r="F164">
            <v>26.02</v>
          </cell>
          <cell r="G164">
            <v>351</v>
          </cell>
          <cell r="H164">
            <v>52.7</v>
          </cell>
          <cell r="I164">
            <v>1E-4</v>
          </cell>
          <cell r="K164">
            <v>20.425699999999999</v>
          </cell>
          <cell r="L164">
            <v>3.06</v>
          </cell>
          <cell r="M164">
            <v>243.9</v>
          </cell>
          <cell r="N164">
            <v>40.65</v>
          </cell>
          <cell r="O164">
            <v>1.0000000000000001E-5</v>
          </cell>
        </row>
        <row r="165">
          <cell r="A165" t="str">
            <v>ﾛ- 60x60x5.0 + C- 60x30x10x2.3D(ﾀﾃﾖｺ)</v>
          </cell>
          <cell r="F165">
            <v>15.88</v>
          </cell>
          <cell r="G165">
            <v>124.9</v>
          </cell>
          <cell r="H165">
            <v>24.5</v>
          </cell>
          <cell r="I165">
            <v>1E-4</v>
          </cell>
          <cell r="K165">
            <v>12.465800000000002</v>
          </cell>
          <cell r="L165">
            <v>2.6579999999999999</v>
          </cell>
          <cell r="M165">
            <v>124.9</v>
          </cell>
          <cell r="N165">
            <v>24.5</v>
          </cell>
          <cell r="O165">
            <v>1.0000000000000001E-5</v>
          </cell>
        </row>
        <row r="166">
          <cell r="A166" t="str">
            <v>ﾛ- 60x60x5.0D + C- 60x30x10x2.3D(ﾀﾃﾖｺ)</v>
          </cell>
          <cell r="F166">
            <v>26.02</v>
          </cell>
          <cell r="G166">
            <v>402.7</v>
          </cell>
          <cell r="H166">
            <v>51.69</v>
          </cell>
          <cell r="I166">
            <v>1E-4</v>
          </cell>
          <cell r="K166">
            <v>20.425699999999999</v>
          </cell>
          <cell r="L166">
            <v>2.6</v>
          </cell>
          <cell r="M166">
            <v>178.4</v>
          </cell>
          <cell r="N166">
            <v>32.700000000000003</v>
          </cell>
          <cell r="O166">
            <v>1.0000000000000001E-5</v>
          </cell>
        </row>
        <row r="167">
          <cell r="A167" t="str">
            <v>ﾛ- 75x75x2.3</v>
          </cell>
          <cell r="B167">
            <v>75</v>
          </cell>
          <cell r="C167">
            <v>75</v>
          </cell>
          <cell r="D167">
            <v>2.2999999999999998</v>
          </cell>
          <cell r="E167" t="str">
            <v>　　</v>
          </cell>
          <cell r="F167">
            <v>6.5519999999999996</v>
          </cell>
          <cell r="G167">
            <v>57.1</v>
          </cell>
          <cell r="H167">
            <v>15.2</v>
          </cell>
          <cell r="I167">
            <v>1E-4</v>
          </cell>
          <cell r="K167">
            <v>5.1433200000000001</v>
          </cell>
          <cell r="L167">
            <v>2.95</v>
          </cell>
          <cell r="M167">
            <v>57.1</v>
          </cell>
          <cell r="N167">
            <v>15.2</v>
          </cell>
          <cell r="O167">
            <v>1.0000000000000001E-5</v>
          </cell>
        </row>
        <row r="168">
          <cell r="A168" t="str">
            <v>ﾛ- 75x75x3.2</v>
          </cell>
          <cell r="B168">
            <v>75</v>
          </cell>
          <cell r="C168">
            <v>75</v>
          </cell>
          <cell r="D168">
            <v>3.2</v>
          </cell>
          <cell r="F168">
            <v>8.9269999999999996</v>
          </cell>
          <cell r="G168">
            <v>75.5</v>
          </cell>
          <cell r="H168">
            <v>20.100000000000001</v>
          </cell>
          <cell r="I168">
            <v>1E-4</v>
          </cell>
          <cell r="K168">
            <v>7.007695</v>
          </cell>
          <cell r="L168">
            <v>2.91</v>
          </cell>
          <cell r="M168">
            <v>75.5</v>
          </cell>
          <cell r="N168">
            <v>20.100000000000001</v>
          </cell>
          <cell r="O168">
            <v>1.0000000000000001E-5</v>
          </cell>
        </row>
        <row r="169">
          <cell r="A169" t="str">
            <v>ﾛ-100x100x2.3</v>
          </cell>
          <cell r="B169">
            <v>100</v>
          </cell>
          <cell r="C169">
            <v>100</v>
          </cell>
          <cell r="D169">
            <v>2.2999999999999998</v>
          </cell>
          <cell r="F169">
            <v>8.8520000000000003</v>
          </cell>
          <cell r="G169">
            <v>140</v>
          </cell>
          <cell r="H169">
            <v>27.9</v>
          </cell>
          <cell r="I169">
            <v>1E-4</v>
          </cell>
          <cell r="K169">
            <v>6.9488200000000004</v>
          </cell>
          <cell r="L169">
            <v>3.97</v>
          </cell>
          <cell r="M169">
            <v>140</v>
          </cell>
          <cell r="N169">
            <v>27.9</v>
          </cell>
          <cell r="O169">
            <v>1.0000000000000001E-5</v>
          </cell>
        </row>
        <row r="170">
          <cell r="A170" t="str">
            <v>ﾛ-100x100x3.2</v>
          </cell>
          <cell r="B170">
            <v>100</v>
          </cell>
          <cell r="C170">
            <v>100</v>
          </cell>
          <cell r="D170">
            <v>3.2</v>
          </cell>
          <cell r="F170">
            <v>12.13</v>
          </cell>
          <cell r="G170">
            <v>187</v>
          </cell>
          <cell r="H170">
            <v>37.5</v>
          </cell>
          <cell r="I170">
            <v>1E-4</v>
          </cell>
          <cell r="K170">
            <v>9.5220500000000001</v>
          </cell>
          <cell r="L170">
            <v>3.93</v>
          </cell>
          <cell r="M170">
            <v>187</v>
          </cell>
          <cell r="N170">
            <v>37.5</v>
          </cell>
          <cell r="O170">
            <v>1.0000000000000001E-5</v>
          </cell>
        </row>
        <row r="171">
          <cell r="A171" t="str">
            <v>ﾛ-100x100x4.5</v>
          </cell>
          <cell r="B171">
            <v>100</v>
          </cell>
          <cell r="C171">
            <v>100</v>
          </cell>
          <cell r="D171">
            <v>4.5</v>
          </cell>
          <cell r="F171">
            <v>16.670000000000002</v>
          </cell>
          <cell r="G171">
            <v>249</v>
          </cell>
          <cell r="H171">
            <v>49.9</v>
          </cell>
          <cell r="I171">
            <v>1E-4</v>
          </cell>
          <cell r="K171">
            <v>13.085950000000002</v>
          </cell>
          <cell r="L171">
            <v>3.87</v>
          </cell>
          <cell r="M171">
            <v>249</v>
          </cell>
          <cell r="N171">
            <v>49.9</v>
          </cell>
          <cell r="O171">
            <v>1.0000000000000001E-5</v>
          </cell>
        </row>
        <row r="172">
          <cell r="A172" t="str">
            <v>ﾛ-100x100x6.0</v>
          </cell>
          <cell r="B172">
            <v>100</v>
          </cell>
          <cell r="C172">
            <v>100</v>
          </cell>
          <cell r="D172">
            <v>6</v>
          </cell>
          <cell r="F172">
            <v>21.63</v>
          </cell>
          <cell r="G172">
            <v>311</v>
          </cell>
          <cell r="H172">
            <v>62.3</v>
          </cell>
          <cell r="I172">
            <v>1E-4</v>
          </cell>
          <cell r="K172">
            <v>16.97955</v>
          </cell>
          <cell r="L172">
            <v>3.79</v>
          </cell>
          <cell r="M172">
            <v>311</v>
          </cell>
          <cell r="N172">
            <v>62.3</v>
          </cell>
          <cell r="O172">
            <v>1.0000000000000001E-5</v>
          </cell>
        </row>
        <row r="173">
          <cell r="A173" t="str">
            <v>ﾛ-125x125x3.2</v>
          </cell>
          <cell r="B173">
            <v>125</v>
          </cell>
          <cell r="C173">
            <v>125</v>
          </cell>
          <cell r="D173">
            <v>3.2</v>
          </cell>
          <cell r="F173">
            <v>15.33</v>
          </cell>
          <cell r="G173">
            <v>376</v>
          </cell>
          <cell r="H173">
            <v>60.1</v>
          </cell>
          <cell r="I173">
            <v>1E-4</v>
          </cell>
          <cell r="K173">
            <v>12.034050000000001</v>
          </cell>
          <cell r="L173">
            <v>4.95</v>
          </cell>
          <cell r="M173">
            <v>376</v>
          </cell>
          <cell r="N173">
            <v>60.1</v>
          </cell>
          <cell r="O173">
            <v>1.0000000000000001E-5</v>
          </cell>
        </row>
        <row r="174">
          <cell r="A174" t="str">
            <v>ﾛ-125x125x4.5</v>
          </cell>
          <cell r="B174">
            <v>125</v>
          </cell>
          <cell r="C174">
            <v>125</v>
          </cell>
          <cell r="D174">
            <v>4.5</v>
          </cell>
          <cell r="F174">
            <v>21.17</v>
          </cell>
          <cell r="G174">
            <v>506</v>
          </cell>
          <cell r="H174">
            <v>80.900000000000006</v>
          </cell>
          <cell r="I174">
            <v>1E-4</v>
          </cell>
          <cell r="K174">
            <v>16.618450000000003</v>
          </cell>
          <cell r="L174">
            <v>4.8899999999999997</v>
          </cell>
          <cell r="M174">
            <v>506</v>
          </cell>
          <cell r="N174">
            <v>80.900000000000006</v>
          </cell>
          <cell r="O174">
            <v>1.0000000000000001E-5</v>
          </cell>
        </row>
        <row r="175">
          <cell r="A175" t="str">
            <v>ﾛ-125x125x6.0</v>
          </cell>
          <cell r="B175">
            <v>125</v>
          </cell>
          <cell r="C175">
            <v>125</v>
          </cell>
          <cell r="D175">
            <v>6</v>
          </cell>
          <cell r="F175">
            <v>27.63</v>
          </cell>
          <cell r="G175">
            <v>641</v>
          </cell>
          <cell r="H175">
            <v>103</v>
          </cell>
          <cell r="I175">
            <v>1E-4</v>
          </cell>
          <cell r="K175">
            <v>21.689550000000001</v>
          </cell>
          <cell r="L175">
            <v>4.82</v>
          </cell>
          <cell r="M175">
            <v>641</v>
          </cell>
          <cell r="N175">
            <v>103</v>
          </cell>
          <cell r="O175">
            <v>1.0000000000000001E-5</v>
          </cell>
        </row>
        <row r="176">
          <cell r="A176" t="str">
            <v>ﾛ-150x150x6</v>
          </cell>
          <cell r="B176">
            <v>150</v>
          </cell>
          <cell r="C176">
            <v>150</v>
          </cell>
          <cell r="D176">
            <v>6</v>
          </cell>
          <cell r="F176">
            <v>33.630000000000003</v>
          </cell>
          <cell r="G176">
            <v>1150</v>
          </cell>
          <cell r="H176">
            <v>153</v>
          </cell>
          <cell r="I176">
            <v>1E-4</v>
          </cell>
          <cell r="K176">
            <v>26.399550000000001</v>
          </cell>
          <cell r="L176">
            <v>5.84</v>
          </cell>
          <cell r="M176">
            <v>1150</v>
          </cell>
          <cell r="N176">
            <v>153</v>
          </cell>
          <cell r="O176">
            <v>1.0000000000000001E-5</v>
          </cell>
        </row>
        <row r="177">
          <cell r="A177" t="str">
            <v>ﾛ-150x150x9</v>
          </cell>
          <cell r="B177">
            <v>150</v>
          </cell>
          <cell r="C177">
            <v>150</v>
          </cell>
          <cell r="D177">
            <v>9</v>
          </cell>
          <cell r="F177">
            <v>48.67</v>
          </cell>
          <cell r="G177">
            <v>1580</v>
          </cell>
          <cell r="H177">
            <v>210</v>
          </cell>
          <cell r="I177">
            <v>1E-4</v>
          </cell>
          <cell r="K177">
            <v>38.205950000000001</v>
          </cell>
          <cell r="L177">
            <v>5.69</v>
          </cell>
          <cell r="M177">
            <v>1580</v>
          </cell>
          <cell r="N177">
            <v>210</v>
          </cell>
          <cell r="O177">
            <v>1.0000000000000001E-5</v>
          </cell>
        </row>
        <row r="178">
          <cell r="A178" t="str">
            <v>ﾛ-150x150x4.5</v>
          </cell>
          <cell r="B178">
            <v>150</v>
          </cell>
          <cell r="C178">
            <v>150</v>
          </cell>
          <cell r="D178">
            <v>4.5</v>
          </cell>
          <cell r="F178">
            <v>25.67</v>
          </cell>
          <cell r="G178">
            <v>896</v>
          </cell>
          <cell r="H178">
            <v>120</v>
          </cell>
          <cell r="I178">
            <v>1E-4</v>
          </cell>
          <cell r="K178">
            <v>20.150950000000002</v>
          </cell>
          <cell r="L178">
            <v>5.91</v>
          </cell>
          <cell r="M178">
            <v>896</v>
          </cell>
          <cell r="N178">
            <v>120</v>
          </cell>
          <cell r="O178">
            <v>1.0000000000000001E-5</v>
          </cell>
        </row>
        <row r="179">
          <cell r="A179" t="str">
            <v>ﾛ-175x175x16</v>
          </cell>
          <cell r="B179">
            <v>175</v>
          </cell>
          <cell r="C179">
            <v>175</v>
          </cell>
          <cell r="D179">
            <v>6</v>
          </cell>
          <cell r="F179">
            <v>39.630000000000003</v>
          </cell>
          <cell r="G179">
            <v>1860</v>
          </cell>
          <cell r="H179">
            <v>213</v>
          </cell>
          <cell r="I179">
            <v>1E-4</v>
          </cell>
          <cell r="K179">
            <v>31.109550000000002</v>
          </cell>
          <cell r="L179">
            <v>6.86</v>
          </cell>
          <cell r="M179">
            <v>1860</v>
          </cell>
          <cell r="N179">
            <v>213</v>
          </cell>
          <cell r="O179">
            <v>1.0000000000000001E-5</v>
          </cell>
        </row>
        <row r="180">
          <cell r="A180" t="str">
            <v>ﾛ-175x175x9</v>
          </cell>
          <cell r="B180">
            <v>175</v>
          </cell>
          <cell r="C180">
            <v>175</v>
          </cell>
          <cell r="D180">
            <v>9</v>
          </cell>
          <cell r="F180">
            <v>57.67</v>
          </cell>
          <cell r="G180">
            <v>2600</v>
          </cell>
          <cell r="H180">
            <v>297</v>
          </cell>
          <cell r="I180">
            <v>1E-4</v>
          </cell>
          <cell r="K180">
            <v>45.270950000000006</v>
          </cell>
          <cell r="L180">
            <v>6.71</v>
          </cell>
          <cell r="M180">
            <v>2600</v>
          </cell>
          <cell r="N180">
            <v>297</v>
          </cell>
          <cell r="O180">
            <v>1.0000000000000001E-5</v>
          </cell>
        </row>
        <row r="181">
          <cell r="A181" t="str">
            <v>ﾛ-200x200x6</v>
          </cell>
          <cell r="B181">
            <v>200</v>
          </cell>
          <cell r="C181">
            <v>200</v>
          </cell>
          <cell r="D181">
            <v>6</v>
          </cell>
          <cell r="F181">
            <v>45.63</v>
          </cell>
          <cell r="G181">
            <v>2830</v>
          </cell>
          <cell r="H181">
            <v>283</v>
          </cell>
          <cell r="I181">
            <v>1E-4</v>
          </cell>
          <cell r="K181">
            <v>35.819550000000007</v>
          </cell>
          <cell r="L181">
            <v>7.88</v>
          </cell>
          <cell r="M181">
            <v>2830</v>
          </cell>
          <cell r="N181">
            <v>283</v>
          </cell>
          <cell r="O181">
            <v>1.0000000000000001E-5</v>
          </cell>
        </row>
        <row r="182">
          <cell r="A182" t="str">
            <v>ﾛ-200x200x8</v>
          </cell>
          <cell r="B182">
            <v>200</v>
          </cell>
          <cell r="C182">
            <v>200</v>
          </cell>
          <cell r="D182">
            <v>8</v>
          </cell>
          <cell r="F182">
            <v>59.79</v>
          </cell>
          <cell r="G182">
            <v>3620</v>
          </cell>
          <cell r="H182">
            <v>362</v>
          </cell>
          <cell r="I182">
            <v>1E-4</v>
          </cell>
          <cell r="K182">
            <v>46.93515</v>
          </cell>
          <cell r="L182">
            <v>7.78</v>
          </cell>
          <cell r="M182">
            <v>3620</v>
          </cell>
          <cell r="N182">
            <v>362</v>
          </cell>
          <cell r="O182">
            <v>1.0000000000000001E-5</v>
          </cell>
        </row>
        <row r="183">
          <cell r="A183" t="str">
            <v>ﾛ-200x200x9</v>
          </cell>
          <cell r="B183">
            <v>200</v>
          </cell>
          <cell r="C183">
            <v>200</v>
          </cell>
          <cell r="D183">
            <v>9</v>
          </cell>
          <cell r="F183">
            <v>66.67</v>
          </cell>
          <cell r="G183">
            <v>3990</v>
          </cell>
          <cell r="H183">
            <v>399</v>
          </cell>
          <cell r="I183">
            <v>1E-4</v>
          </cell>
          <cell r="K183">
            <v>52.335950000000004</v>
          </cell>
          <cell r="L183">
            <v>7.73</v>
          </cell>
          <cell r="M183">
            <v>3990</v>
          </cell>
          <cell r="N183">
            <v>399</v>
          </cell>
          <cell r="O183">
            <v>1.0000000000000001E-5</v>
          </cell>
        </row>
        <row r="184">
          <cell r="A184" t="str">
            <v>ﾛ-200x200x12</v>
          </cell>
          <cell r="B184">
            <v>200</v>
          </cell>
          <cell r="C184">
            <v>200</v>
          </cell>
          <cell r="D184">
            <v>12</v>
          </cell>
          <cell r="F184">
            <v>86.53</v>
          </cell>
          <cell r="G184">
            <v>4980</v>
          </cell>
          <cell r="H184">
            <v>498</v>
          </cell>
          <cell r="I184">
            <v>1E-4</v>
          </cell>
          <cell r="K184">
            <v>67.926050000000004</v>
          </cell>
          <cell r="L184">
            <v>7.59</v>
          </cell>
          <cell r="M184">
            <v>4980</v>
          </cell>
          <cell r="N184">
            <v>498</v>
          </cell>
          <cell r="O184">
            <v>1.0000000000000001E-5</v>
          </cell>
        </row>
        <row r="185">
          <cell r="A185" t="str">
            <v>ﾛ-250x250x6</v>
          </cell>
          <cell r="B185">
            <v>250</v>
          </cell>
          <cell r="C185">
            <v>250</v>
          </cell>
          <cell r="D185">
            <v>6</v>
          </cell>
          <cell r="F185">
            <v>57.63</v>
          </cell>
          <cell r="G185">
            <v>5670</v>
          </cell>
          <cell r="H185">
            <v>454</v>
          </cell>
          <cell r="I185">
            <v>1E-4</v>
          </cell>
          <cell r="K185">
            <v>45.239550000000001</v>
          </cell>
          <cell r="L185">
            <v>9.92</v>
          </cell>
          <cell r="M185">
            <v>5670</v>
          </cell>
          <cell r="N185">
            <v>454</v>
          </cell>
          <cell r="O185">
            <v>1.0000000000000001E-5</v>
          </cell>
        </row>
        <row r="186">
          <cell r="A186" t="str">
            <v>ﾛ-250x250x9</v>
          </cell>
          <cell r="B186">
            <v>250</v>
          </cell>
          <cell r="C186">
            <v>250</v>
          </cell>
          <cell r="D186">
            <v>9</v>
          </cell>
          <cell r="F186">
            <v>84.67</v>
          </cell>
          <cell r="G186">
            <v>8090</v>
          </cell>
          <cell r="H186">
            <v>647</v>
          </cell>
          <cell r="I186">
            <v>1E-4</v>
          </cell>
          <cell r="K186">
            <v>66.465950000000007</v>
          </cell>
          <cell r="L186">
            <v>9.7799999999999994</v>
          </cell>
          <cell r="M186">
            <v>8090</v>
          </cell>
          <cell r="N186">
            <v>647</v>
          </cell>
          <cell r="O186">
            <v>1.0000000000000001E-5</v>
          </cell>
        </row>
        <row r="187">
          <cell r="A187" t="str">
            <v>ﾛ-250x250x12</v>
          </cell>
          <cell r="B187">
            <v>250</v>
          </cell>
          <cell r="C187">
            <v>250</v>
          </cell>
          <cell r="D187">
            <v>12</v>
          </cell>
          <cell r="F187">
            <v>110.5</v>
          </cell>
          <cell r="G187">
            <v>10300</v>
          </cell>
          <cell r="H187">
            <v>820</v>
          </cell>
          <cell r="I187">
            <v>1E-4</v>
          </cell>
          <cell r="K187">
            <v>86.742500000000007</v>
          </cell>
          <cell r="L187">
            <v>9.6300000000000008</v>
          </cell>
          <cell r="M187">
            <v>10300</v>
          </cell>
          <cell r="N187">
            <v>820</v>
          </cell>
          <cell r="O187">
            <v>1.0000000000000001E-5</v>
          </cell>
        </row>
        <row r="188">
          <cell r="A188" t="str">
            <v>ﾛ-250x250x16</v>
          </cell>
          <cell r="B188">
            <v>250</v>
          </cell>
          <cell r="C188">
            <v>250</v>
          </cell>
          <cell r="D188">
            <v>16</v>
          </cell>
          <cell r="F188">
            <v>143.19999999999999</v>
          </cell>
          <cell r="G188">
            <v>12800</v>
          </cell>
          <cell r="H188">
            <v>1020</v>
          </cell>
          <cell r="I188">
            <v>1E-4</v>
          </cell>
          <cell r="K188">
            <v>112.41199999999999</v>
          </cell>
          <cell r="L188">
            <v>9.44</v>
          </cell>
          <cell r="M188">
            <v>12800</v>
          </cell>
          <cell r="N188">
            <v>1020</v>
          </cell>
          <cell r="O188">
            <v>1.0000000000000001E-5</v>
          </cell>
        </row>
        <row r="189">
          <cell r="A189" t="str">
            <v>ﾛ-300x300x6</v>
          </cell>
          <cell r="B189">
            <v>300</v>
          </cell>
          <cell r="C189">
            <v>300</v>
          </cell>
          <cell r="D189">
            <v>6</v>
          </cell>
          <cell r="F189">
            <v>69.63</v>
          </cell>
          <cell r="G189">
            <v>9960</v>
          </cell>
          <cell r="H189">
            <v>664</v>
          </cell>
          <cell r="I189">
            <v>1E-4</v>
          </cell>
          <cell r="K189">
            <v>54.659549999999996</v>
          </cell>
          <cell r="L189">
            <v>12</v>
          </cell>
          <cell r="M189">
            <v>9960</v>
          </cell>
          <cell r="N189">
            <v>664</v>
          </cell>
          <cell r="O189">
            <v>1.0000000000000001E-5</v>
          </cell>
        </row>
        <row r="190">
          <cell r="A190" t="str">
            <v>ﾛ-300x300x9</v>
          </cell>
          <cell r="B190">
            <v>300</v>
          </cell>
          <cell r="C190">
            <v>300</v>
          </cell>
          <cell r="D190">
            <v>9</v>
          </cell>
          <cell r="F190">
            <v>102.7</v>
          </cell>
          <cell r="G190">
            <v>14300</v>
          </cell>
          <cell r="H190">
            <v>956</v>
          </cell>
          <cell r="I190">
            <v>1E-4</v>
          </cell>
          <cell r="K190">
            <v>80.619500000000002</v>
          </cell>
          <cell r="L190">
            <v>11.8</v>
          </cell>
          <cell r="M190">
            <v>14300</v>
          </cell>
          <cell r="N190">
            <v>956</v>
          </cell>
          <cell r="O190">
            <v>1.0000000000000001E-5</v>
          </cell>
        </row>
        <row r="191">
          <cell r="A191" t="str">
            <v>ﾛ-300x300x12</v>
          </cell>
          <cell r="B191">
            <v>300</v>
          </cell>
          <cell r="C191">
            <v>300</v>
          </cell>
          <cell r="D191">
            <v>12</v>
          </cell>
          <cell r="F191">
            <v>134.5</v>
          </cell>
          <cell r="G191">
            <v>18300</v>
          </cell>
          <cell r="H191">
            <v>1220</v>
          </cell>
          <cell r="I191">
            <v>1E-4</v>
          </cell>
          <cell r="K191">
            <v>105.58250000000001</v>
          </cell>
          <cell r="L191">
            <v>11.7</v>
          </cell>
          <cell r="M191">
            <v>18300</v>
          </cell>
          <cell r="N191">
            <v>1220</v>
          </cell>
          <cell r="O191">
            <v>1.0000000000000001E-5</v>
          </cell>
        </row>
        <row r="192">
          <cell r="A192" t="str">
            <v>ﾛ-300x300x16</v>
          </cell>
          <cell r="B192">
            <v>300</v>
          </cell>
          <cell r="C192">
            <v>300</v>
          </cell>
          <cell r="D192">
            <v>16</v>
          </cell>
          <cell r="F192">
            <v>175.2</v>
          </cell>
          <cell r="G192">
            <v>23100</v>
          </cell>
          <cell r="H192">
            <v>1540</v>
          </cell>
          <cell r="I192">
            <v>1E-4</v>
          </cell>
          <cell r="K192">
            <v>137.53200000000001</v>
          </cell>
          <cell r="L192">
            <v>11.5</v>
          </cell>
          <cell r="M192">
            <v>23100</v>
          </cell>
          <cell r="N192">
            <v>1540</v>
          </cell>
          <cell r="O192">
            <v>1.0000000000000001E-5</v>
          </cell>
        </row>
        <row r="193">
          <cell r="A193" t="str">
            <v>ﾛ-300x300x19</v>
          </cell>
          <cell r="B193">
            <v>300</v>
          </cell>
          <cell r="C193">
            <v>300</v>
          </cell>
          <cell r="D193">
            <v>19</v>
          </cell>
          <cell r="F193">
            <v>195.8</v>
          </cell>
          <cell r="G193">
            <v>24300</v>
          </cell>
          <cell r="H193">
            <v>1620</v>
          </cell>
          <cell r="I193">
            <v>1E-4</v>
          </cell>
          <cell r="K193">
            <v>153.703</v>
          </cell>
          <cell r="L193">
            <v>11.3</v>
          </cell>
          <cell r="M193">
            <v>24300</v>
          </cell>
          <cell r="N193">
            <v>1620</v>
          </cell>
          <cell r="O193">
            <v>1.0000000000000001E-5</v>
          </cell>
        </row>
        <row r="194">
          <cell r="A194" t="str">
            <v>ﾛ-350x350x9</v>
          </cell>
          <cell r="B194">
            <v>350</v>
          </cell>
          <cell r="C194">
            <v>350</v>
          </cell>
          <cell r="D194">
            <v>9</v>
          </cell>
          <cell r="F194">
            <v>120.7</v>
          </cell>
          <cell r="G194">
            <v>23200</v>
          </cell>
          <cell r="H194">
            <v>1320</v>
          </cell>
          <cell r="I194">
            <v>1E-4</v>
          </cell>
          <cell r="K194">
            <v>94.749500000000012</v>
          </cell>
          <cell r="L194">
            <v>13.9</v>
          </cell>
          <cell r="M194">
            <v>23200</v>
          </cell>
          <cell r="N194">
            <v>1320</v>
          </cell>
          <cell r="O194">
            <v>1.0000000000000001E-5</v>
          </cell>
        </row>
        <row r="195">
          <cell r="A195" t="str">
            <v>ﾛ-350x350x12</v>
          </cell>
          <cell r="B195">
            <v>350</v>
          </cell>
          <cell r="C195">
            <v>350</v>
          </cell>
          <cell r="D195">
            <v>12</v>
          </cell>
          <cell r="F195">
            <v>158.5</v>
          </cell>
          <cell r="G195">
            <v>29800</v>
          </cell>
          <cell r="H195">
            <v>1700</v>
          </cell>
          <cell r="I195">
            <v>1E-4</v>
          </cell>
          <cell r="K195">
            <v>124.4225</v>
          </cell>
          <cell r="L195">
            <v>13.7</v>
          </cell>
          <cell r="M195">
            <v>29800</v>
          </cell>
          <cell r="N195">
            <v>1700</v>
          </cell>
          <cell r="O195">
            <v>1.0000000000000001E-5</v>
          </cell>
        </row>
        <row r="196">
          <cell r="A196" t="str">
            <v>ﾛ-350x350x16</v>
          </cell>
          <cell r="B196">
            <v>350</v>
          </cell>
          <cell r="C196">
            <v>350</v>
          </cell>
          <cell r="D196">
            <v>16</v>
          </cell>
          <cell r="F196">
            <v>207.2</v>
          </cell>
          <cell r="G196">
            <v>37900</v>
          </cell>
          <cell r="H196">
            <v>2160</v>
          </cell>
          <cell r="I196">
            <v>1E-4</v>
          </cell>
          <cell r="K196">
            <v>162.65199999999999</v>
          </cell>
          <cell r="L196">
            <v>13.5</v>
          </cell>
          <cell r="M196">
            <v>37900</v>
          </cell>
          <cell r="N196">
            <v>2160</v>
          </cell>
          <cell r="O196">
            <v>1.0000000000000001E-5</v>
          </cell>
        </row>
        <row r="197">
          <cell r="A197" t="str">
            <v>ﾛ-350x350x19</v>
          </cell>
          <cell r="B197">
            <v>350</v>
          </cell>
          <cell r="C197">
            <v>350</v>
          </cell>
          <cell r="D197">
            <v>19</v>
          </cell>
          <cell r="F197">
            <v>242.3</v>
          </cell>
          <cell r="G197">
            <v>43400</v>
          </cell>
          <cell r="H197">
            <v>2480</v>
          </cell>
          <cell r="I197">
            <v>1E-4</v>
          </cell>
          <cell r="K197">
            <v>190.20550000000003</v>
          </cell>
          <cell r="L197">
            <v>13.4</v>
          </cell>
          <cell r="M197">
            <v>43400</v>
          </cell>
          <cell r="N197">
            <v>2480</v>
          </cell>
          <cell r="O197">
            <v>1.0000000000000001E-5</v>
          </cell>
        </row>
        <row r="198">
          <cell r="A198" t="str">
            <v>ﾛ-350x350x22</v>
          </cell>
          <cell r="B198">
            <v>350</v>
          </cell>
          <cell r="C198">
            <v>350</v>
          </cell>
          <cell r="D198">
            <v>22</v>
          </cell>
          <cell r="F198">
            <v>276.2</v>
          </cell>
          <cell r="G198">
            <v>48400</v>
          </cell>
          <cell r="H198">
            <v>2760</v>
          </cell>
          <cell r="I198">
            <v>1E-4</v>
          </cell>
          <cell r="K198">
            <v>216.81700000000001</v>
          </cell>
          <cell r="L198">
            <v>13.2</v>
          </cell>
          <cell r="M198">
            <v>48400</v>
          </cell>
          <cell r="N198">
            <v>2760</v>
          </cell>
          <cell r="O198">
            <v>1.0000000000000001E-5</v>
          </cell>
        </row>
        <row r="199">
          <cell r="A199" t="str">
            <v>ﾛ-400x400x9</v>
          </cell>
          <cell r="B199">
            <v>400</v>
          </cell>
          <cell r="C199">
            <v>400</v>
          </cell>
          <cell r="D199">
            <v>9</v>
          </cell>
          <cell r="F199">
            <v>138.69999999999999</v>
          </cell>
          <cell r="G199">
            <v>35100</v>
          </cell>
          <cell r="H199">
            <v>1750</v>
          </cell>
          <cell r="I199">
            <v>1E-4</v>
          </cell>
          <cell r="K199">
            <v>108.87949999999999</v>
          </cell>
          <cell r="L199">
            <v>15.9</v>
          </cell>
          <cell r="M199">
            <v>35100</v>
          </cell>
          <cell r="N199">
            <v>1750</v>
          </cell>
          <cell r="O199">
            <v>1.0000000000000001E-5</v>
          </cell>
        </row>
        <row r="200">
          <cell r="A200" t="str">
            <v>ﾛ-400x400x12</v>
          </cell>
          <cell r="B200">
            <v>400</v>
          </cell>
          <cell r="C200">
            <v>400</v>
          </cell>
          <cell r="D200">
            <v>12</v>
          </cell>
          <cell r="F200">
            <v>182.5</v>
          </cell>
          <cell r="G200">
            <v>45300</v>
          </cell>
          <cell r="H200">
            <v>2270</v>
          </cell>
          <cell r="I200">
            <v>1E-4</v>
          </cell>
          <cell r="K200">
            <v>143.26250000000002</v>
          </cell>
          <cell r="L200">
            <v>15.8</v>
          </cell>
          <cell r="M200">
            <v>45300</v>
          </cell>
          <cell r="N200">
            <v>2270</v>
          </cell>
          <cell r="O200">
            <v>1.0000000000000001E-5</v>
          </cell>
        </row>
        <row r="201">
          <cell r="A201" t="str">
            <v>ﾛ-400x400x16</v>
          </cell>
          <cell r="B201">
            <v>400</v>
          </cell>
          <cell r="C201">
            <v>400</v>
          </cell>
          <cell r="D201">
            <v>16</v>
          </cell>
          <cell r="F201">
            <v>239.2</v>
          </cell>
          <cell r="G201">
            <v>57900</v>
          </cell>
          <cell r="H201">
            <v>2900</v>
          </cell>
          <cell r="I201">
            <v>1E-4</v>
          </cell>
          <cell r="K201">
            <v>187.77199999999999</v>
          </cell>
          <cell r="L201">
            <v>15.6</v>
          </cell>
          <cell r="M201">
            <v>57900</v>
          </cell>
          <cell r="N201">
            <v>2900</v>
          </cell>
          <cell r="O201">
            <v>1.0000000000000001E-5</v>
          </cell>
        </row>
        <row r="202">
          <cell r="A202" t="str">
            <v>ﾛ-400x400x19</v>
          </cell>
          <cell r="B202">
            <v>400</v>
          </cell>
          <cell r="C202">
            <v>400</v>
          </cell>
          <cell r="D202">
            <v>19</v>
          </cell>
          <cell r="F202">
            <v>280.3</v>
          </cell>
          <cell r="G202">
            <v>66600</v>
          </cell>
          <cell r="H202">
            <v>3330</v>
          </cell>
          <cell r="I202">
            <v>1E-4</v>
          </cell>
          <cell r="K202">
            <v>220.03550000000001</v>
          </cell>
          <cell r="L202">
            <v>15.4</v>
          </cell>
          <cell r="M202">
            <v>66600</v>
          </cell>
          <cell r="N202">
            <v>3330</v>
          </cell>
          <cell r="O202">
            <v>1.0000000000000001E-5</v>
          </cell>
        </row>
        <row r="203">
          <cell r="A203" t="str">
            <v>ﾛ-400x400x22</v>
          </cell>
          <cell r="B203">
            <v>400</v>
          </cell>
          <cell r="C203">
            <v>400</v>
          </cell>
          <cell r="D203">
            <v>22</v>
          </cell>
          <cell r="F203">
            <v>320.2</v>
          </cell>
          <cell r="G203">
            <v>74700</v>
          </cell>
          <cell r="H203">
            <v>3740</v>
          </cell>
          <cell r="I203">
            <v>1E-4</v>
          </cell>
          <cell r="K203">
            <v>251.357</v>
          </cell>
          <cell r="L203">
            <v>15.3</v>
          </cell>
          <cell r="M203">
            <v>74700</v>
          </cell>
          <cell r="N203">
            <v>3740</v>
          </cell>
          <cell r="O203">
            <v>1.0000000000000001E-5</v>
          </cell>
        </row>
        <row r="204">
          <cell r="A204" t="str">
            <v>ﾛ-450x450x12</v>
          </cell>
          <cell r="B204">
            <v>450</v>
          </cell>
          <cell r="C204">
            <v>450</v>
          </cell>
          <cell r="D204">
            <v>12</v>
          </cell>
          <cell r="F204">
            <v>206.5</v>
          </cell>
          <cell r="G204">
            <v>65400</v>
          </cell>
          <cell r="H204">
            <v>2910</v>
          </cell>
          <cell r="I204">
            <v>1E-4</v>
          </cell>
          <cell r="K204">
            <v>162.10250000000002</v>
          </cell>
          <cell r="L204">
            <v>17.8</v>
          </cell>
          <cell r="M204">
            <v>65400</v>
          </cell>
          <cell r="N204">
            <v>2910</v>
          </cell>
          <cell r="O204">
            <v>1.0000000000000001E-5</v>
          </cell>
        </row>
        <row r="205">
          <cell r="A205" t="str">
            <v>ﾛ-450x450x16</v>
          </cell>
          <cell r="B205">
            <v>450</v>
          </cell>
          <cell r="C205">
            <v>450</v>
          </cell>
          <cell r="D205">
            <v>16</v>
          </cell>
          <cell r="F205">
            <v>271.2</v>
          </cell>
          <cell r="G205">
            <v>84100</v>
          </cell>
          <cell r="H205">
            <v>3740</v>
          </cell>
          <cell r="I205">
            <v>1E-4</v>
          </cell>
          <cell r="K205">
            <v>212.892</v>
          </cell>
          <cell r="L205">
            <v>17.600000000000001</v>
          </cell>
          <cell r="M205">
            <v>84100</v>
          </cell>
          <cell r="N205">
            <v>3740</v>
          </cell>
          <cell r="O205">
            <v>1.0000000000000001E-5</v>
          </cell>
        </row>
        <row r="206">
          <cell r="A206" t="str">
            <v>ﾛ-450x450x19</v>
          </cell>
          <cell r="B206">
            <v>450</v>
          </cell>
          <cell r="C206">
            <v>450</v>
          </cell>
          <cell r="D206">
            <v>19</v>
          </cell>
          <cell r="F206">
            <v>318.3</v>
          </cell>
          <cell r="G206">
            <v>97100</v>
          </cell>
          <cell r="H206">
            <v>4310</v>
          </cell>
          <cell r="I206">
            <v>1E-4</v>
          </cell>
          <cell r="K206">
            <v>249.86550000000003</v>
          </cell>
          <cell r="L206">
            <v>17.5</v>
          </cell>
          <cell r="M206">
            <v>97100</v>
          </cell>
          <cell r="N206">
            <v>4310</v>
          </cell>
          <cell r="O206">
            <v>1.0000000000000001E-5</v>
          </cell>
        </row>
        <row r="207">
          <cell r="A207" t="str">
            <v>ﾛ-450x450x22</v>
          </cell>
          <cell r="B207">
            <v>450</v>
          </cell>
          <cell r="C207">
            <v>450</v>
          </cell>
          <cell r="D207">
            <v>22</v>
          </cell>
          <cell r="F207">
            <v>364.2</v>
          </cell>
          <cell r="G207">
            <v>109000</v>
          </cell>
          <cell r="H207">
            <v>4850</v>
          </cell>
          <cell r="I207">
            <v>1E-4</v>
          </cell>
          <cell r="K207">
            <v>285.89699999999999</v>
          </cell>
          <cell r="L207">
            <v>17.3</v>
          </cell>
          <cell r="M207">
            <v>109000</v>
          </cell>
          <cell r="N207">
            <v>4850</v>
          </cell>
          <cell r="O207">
            <v>1.0000000000000001E-5</v>
          </cell>
        </row>
        <row r="208">
          <cell r="A208" t="str">
            <v>ﾛ-500x500x12</v>
          </cell>
          <cell r="B208">
            <v>500</v>
          </cell>
          <cell r="C208">
            <v>500</v>
          </cell>
          <cell r="D208">
            <v>12</v>
          </cell>
          <cell r="F208">
            <v>230.5</v>
          </cell>
          <cell r="G208">
            <v>90800</v>
          </cell>
          <cell r="H208">
            <v>3630</v>
          </cell>
          <cell r="I208">
            <v>1E-4</v>
          </cell>
          <cell r="K208">
            <v>180.9425</v>
          </cell>
          <cell r="L208">
            <v>19.8</v>
          </cell>
          <cell r="M208">
            <v>90800</v>
          </cell>
          <cell r="N208">
            <v>3630</v>
          </cell>
          <cell r="O208">
            <v>1.0000000000000001E-5</v>
          </cell>
        </row>
        <row r="209">
          <cell r="A209" t="str">
            <v>ﾛ-500x500x16</v>
          </cell>
          <cell r="B209">
            <v>500</v>
          </cell>
          <cell r="C209">
            <v>500</v>
          </cell>
          <cell r="D209">
            <v>16</v>
          </cell>
          <cell r="F209">
            <v>303.2</v>
          </cell>
          <cell r="G209">
            <v>117000</v>
          </cell>
          <cell r="H209">
            <v>4680</v>
          </cell>
          <cell r="I209">
            <v>1E-4</v>
          </cell>
          <cell r="K209">
            <v>238.012</v>
          </cell>
          <cell r="L209">
            <v>19.600000000000001</v>
          </cell>
          <cell r="M209">
            <v>117000</v>
          </cell>
          <cell r="N209">
            <v>4680</v>
          </cell>
          <cell r="O209">
            <v>1.0000000000000001E-5</v>
          </cell>
        </row>
        <row r="210">
          <cell r="A210" t="str">
            <v>ﾛ-500x500x19</v>
          </cell>
          <cell r="B210">
            <v>500</v>
          </cell>
          <cell r="C210">
            <v>500</v>
          </cell>
          <cell r="D210">
            <v>19</v>
          </cell>
          <cell r="F210">
            <v>326.3</v>
          </cell>
          <cell r="G210">
            <v>136000</v>
          </cell>
          <cell r="H210">
            <v>5420</v>
          </cell>
          <cell r="I210">
            <v>1E-4</v>
          </cell>
          <cell r="K210">
            <v>256.14550000000003</v>
          </cell>
          <cell r="L210">
            <v>19.5</v>
          </cell>
          <cell r="M210">
            <v>136000</v>
          </cell>
          <cell r="N210">
            <v>5420</v>
          </cell>
          <cell r="O210">
            <v>1.0000000000000001E-5</v>
          </cell>
        </row>
        <row r="211">
          <cell r="A211" t="str">
            <v>ﾛ-500x500x22</v>
          </cell>
          <cell r="B211">
            <v>500</v>
          </cell>
          <cell r="C211">
            <v>500</v>
          </cell>
          <cell r="D211">
            <v>22</v>
          </cell>
          <cell r="F211">
            <v>408.2</v>
          </cell>
          <cell r="G211">
            <v>153000</v>
          </cell>
          <cell r="H211">
            <v>6120</v>
          </cell>
          <cell r="I211">
            <v>1E-4</v>
          </cell>
          <cell r="K211">
            <v>320.43700000000001</v>
          </cell>
          <cell r="L211">
            <v>19.399999999999999</v>
          </cell>
          <cell r="M211">
            <v>153000</v>
          </cell>
          <cell r="N211">
            <v>6120</v>
          </cell>
          <cell r="O211">
            <v>1.0000000000000001E-5</v>
          </cell>
        </row>
        <row r="212">
          <cell r="A212" t="str">
            <v>ﾛ-550x550x16</v>
          </cell>
          <cell r="B212">
            <v>550</v>
          </cell>
          <cell r="C212">
            <v>550</v>
          </cell>
          <cell r="D212">
            <v>16</v>
          </cell>
          <cell r="F212">
            <v>335.2</v>
          </cell>
          <cell r="G212">
            <v>158000</v>
          </cell>
          <cell r="H212">
            <v>5730</v>
          </cell>
          <cell r="I212">
            <v>1E-4</v>
          </cell>
          <cell r="K212">
            <v>263.13200000000001</v>
          </cell>
          <cell r="L212">
            <v>21.7</v>
          </cell>
          <cell r="M212">
            <v>158000</v>
          </cell>
          <cell r="N212">
            <v>5730</v>
          </cell>
          <cell r="O212">
            <v>1.0000000000000001E-5</v>
          </cell>
        </row>
        <row r="213">
          <cell r="A213" t="str">
            <v>ﾛ-550x550x19</v>
          </cell>
          <cell r="B213">
            <v>550</v>
          </cell>
          <cell r="C213">
            <v>550</v>
          </cell>
          <cell r="D213">
            <v>19</v>
          </cell>
          <cell r="F213">
            <v>394.3</v>
          </cell>
          <cell r="G213">
            <v>183000</v>
          </cell>
          <cell r="H213">
            <v>6660</v>
          </cell>
          <cell r="I213">
            <v>1E-4</v>
          </cell>
          <cell r="K213">
            <v>309.52550000000002</v>
          </cell>
          <cell r="L213">
            <v>21.5</v>
          </cell>
          <cell r="M213">
            <v>183000</v>
          </cell>
          <cell r="N213">
            <v>6660</v>
          </cell>
          <cell r="O213">
            <v>1.0000000000000001E-5</v>
          </cell>
        </row>
        <row r="214">
          <cell r="A214" t="str">
            <v>ﾛ-550x550x22</v>
          </cell>
          <cell r="B214">
            <v>550</v>
          </cell>
          <cell r="C214">
            <v>550</v>
          </cell>
          <cell r="D214">
            <v>22</v>
          </cell>
          <cell r="F214">
            <v>452.2</v>
          </cell>
          <cell r="G214">
            <v>207000</v>
          </cell>
          <cell r="H214">
            <v>7530</v>
          </cell>
          <cell r="I214">
            <v>1E-4</v>
          </cell>
          <cell r="K214">
            <v>354.97700000000003</v>
          </cell>
          <cell r="L214">
            <v>21.4</v>
          </cell>
          <cell r="M214">
            <v>207000</v>
          </cell>
          <cell r="N214">
            <v>7530</v>
          </cell>
          <cell r="O214">
            <v>1.0000000000000001E-5</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礎梁の設計"/>
    </sheetNames>
    <sheetDataSet>
      <sheetData sheetId="0" refreshError="1">
        <row r="1">
          <cell r="BD1" t="str">
            <v>{MENUBRANCH MENU}</v>
          </cell>
        </row>
        <row r="28">
          <cell r="BD28" t="str">
            <v>{MENU}PPGQ</v>
          </cell>
        </row>
        <row r="29">
          <cell r="BD29" t="str">
            <v>{MENUBRANCH MENU}</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画面レイアウト"/>
      <sheetName val="laroux"/>
      <sheetName val="仕様書"/>
      <sheetName val="白紙"/>
      <sheetName val="プリントレイアウト"/>
      <sheetName val="入力項目検査仕様"/>
      <sheetName val="項目編集仕様 "/>
      <sheetName val="総括"/>
    </sheetNames>
    <sheetDataSet>
      <sheetData sheetId="0"/>
      <sheetData sheetId="1" refreshError="1"/>
      <sheetData sheetId="2"/>
      <sheetData sheetId="3"/>
      <sheetData sheetId="4"/>
      <sheetData sheetId="5"/>
      <sheetData sheetId="6"/>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ホスト→オープンシステム"/>
      <sheetName val="LIST"/>
      <sheetName val="画面レイアウト"/>
    </sheetNames>
    <sheetDataSet>
      <sheetData sheetId="0" refreshError="1"/>
      <sheetData sheetId="1" refreshError="1">
        <row r="4">
          <cell r="C4" t="str">
            <v>不明</v>
          </cell>
          <cell r="E4" t="str">
            <v>不明</v>
          </cell>
          <cell r="G4" t="str">
            <v>不明</v>
          </cell>
        </row>
        <row r="5">
          <cell r="C5" t="str">
            <v>文字(固定長)</v>
          </cell>
          <cell r="E5" t="str">
            <v>半角</v>
          </cell>
          <cell r="G5" t="str">
            <v>整数</v>
          </cell>
        </row>
        <row r="6">
          <cell r="C6" t="str">
            <v>文字(可変長)</v>
          </cell>
          <cell r="E6" t="str">
            <v>全角</v>
          </cell>
          <cell r="G6" t="str">
            <v>小数</v>
          </cell>
        </row>
        <row r="7">
          <cell r="C7" t="str">
            <v>数字</v>
          </cell>
          <cell r="E7" t="str">
            <v>混在</v>
          </cell>
          <cell r="G7" t="str">
            <v>実数</v>
          </cell>
        </row>
        <row r="8">
          <cell r="C8" t="str">
            <v>日付</v>
          </cell>
          <cell r="G8" t="str">
            <v>数</v>
          </cell>
        </row>
        <row r="9">
          <cell r="C9" t="str">
            <v>X</v>
          </cell>
          <cell r="G9" t="str">
            <v>英</v>
          </cell>
        </row>
        <row r="10">
          <cell r="C10" t="str">
            <v>N</v>
          </cell>
          <cell r="G10" t="str">
            <v>カナ</v>
          </cell>
        </row>
        <row r="11">
          <cell r="C11" t="str">
            <v>9</v>
          </cell>
          <cell r="G11" t="str">
            <v>英数</v>
          </cell>
        </row>
        <row r="12">
          <cell r="C12" t="str">
            <v>COMP-3</v>
          </cell>
          <cell r="G12" t="str">
            <v>英数カナ</v>
          </cell>
        </row>
        <row r="13">
          <cell r="C13" t="str">
            <v>CHAR</v>
          </cell>
          <cell r="G13" t="str">
            <v>規制無し</v>
          </cell>
        </row>
        <row r="14">
          <cell r="C14" t="str">
            <v>VARCHAR2</v>
          </cell>
          <cell r="G14" t="str">
            <v>その他</v>
          </cell>
        </row>
        <row r="15">
          <cell r="C15" t="str">
            <v>NUMBER</v>
          </cell>
        </row>
        <row r="16">
          <cell r="C16" t="str">
            <v>DATE</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部材リスト"/>
      <sheetName val="設計方針等"/>
      <sheetName val="概算検討"/>
      <sheetName val="設計"/>
      <sheetName val="ｼﾞｮｲﾝﾄ"/>
      <sheetName val="MT"/>
      <sheetName val="一般"/>
      <sheetName val="一般+Br"/>
      <sheetName val="M"/>
      <sheetName val="施工時"/>
      <sheetName val="MT+Br"/>
      <sheetName val="M+Ｂｒ"/>
      <sheetName val="吹き上げ"/>
      <sheetName val="独立基礎"/>
      <sheetName val="§9-基礎 (2)"/>
      <sheetName val="§9-基礎"/>
    </sheetNames>
    <sheetDataSet>
      <sheetData sheetId="0" refreshError="1">
        <row r="12">
          <cell r="B12" t="str">
            <v>H-200×100×5.5×8</v>
          </cell>
          <cell r="D12">
            <v>26.67</v>
          </cell>
          <cell r="E12">
            <v>1810</v>
          </cell>
          <cell r="F12">
            <v>134</v>
          </cell>
          <cell r="G12">
            <v>8.23</v>
          </cell>
          <cell r="H12">
            <v>2.2400000000000002</v>
          </cell>
          <cell r="I12">
            <v>181</v>
          </cell>
          <cell r="J12">
            <v>26.7</v>
          </cell>
          <cell r="K12">
            <v>2.63</v>
          </cell>
          <cell r="L12">
            <v>6.57</v>
          </cell>
          <cell r="M12">
            <v>5.5</v>
          </cell>
          <cell r="N12">
            <v>20.9</v>
          </cell>
          <cell r="O12" t="str">
            <v>SH200</v>
          </cell>
          <cell r="P12">
            <v>0.8</v>
          </cell>
          <cell r="Q12">
            <v>44</v>
          </cell>
        </row>
        <row r="13">
          <cell r="B13" t="str">
            <v>H-248×124×5×8</v>
          </cell>
          <cell r="D13">
            <v>31.99</v>
          </cell>
          <cell r="E13">
            <v>3450</v>
          </cell>
          <cell r="F13">
            <v>255</v>
          </cell>
          <cell r="G13">
            <v>10.4</v>
          </cell>
          <cell r="H13">
            <v>2.82</v>
          </cell>
          <cell r="I13">
            <v>278</v>
          </cell>
          <cell r="J13">
            <v>41.1</v>
          </cell>
          <cell r="K13">
            <v>3.27</v>
          </cell>
          <cell r="L13">
            <v>8.19</v>
          </cell>
          <cell r="M13">
            <v>5</v>
          </cell>
          <cell r="N13">
            <v>25.1</v>
          </cell>
          <cell r="O13" t="str">
            <v>SH248</v>
          </cell>
          <cell r="P13">
            <v>1</v>
          </cell>
          <cell r="Q13">
            <v>44</v>
          </cell>
        </row>
        <row r="14">
          <cell r="B14" t="str">
            <v>H-250×125×6×9</v>
          </cell>
          <cell r="D14">
            <v>36.97</v>
          </cell>
          <cell r="E14">
            <v>3960</v>
          </cell>
          <cell r="F14">
            <v>294</v>
          </cell>
          <cell r="G14">
            <v>10.4</v>
          </cell>
          <cell r="H14">
            <v>2.82</v>
          </cell>
          <cell r="I14">
            <v>317</v>
          </cell>
          <cell r="J14">
            <v>47</v>
          </cell>
          <cell r="K14">
            <v>3.3</v>
          </cell>
          <cell r="L14">
            <v>7.33</v>
          </cell>
          <cell r="M14">
            <v>6</v>
          </cell>
          <cell r="N14">
            <v>29</v>
          </cell>
          <cell r="O14" t="str">
            <v>SH250</v>
          </cell>
          <cell r="P14">
            <v>1</v>
          </cell>
          <cell r="Q14">
            <v>44</v>
          </cell>
        </row>
        <row r="15">
          <cell r="B15" t="str">
            <v>H-298×149×5.5×8</v>
          </cell>
          <cell r="D15">
            <v>40.799999999999997</v>
          </cell>
          <cell r="E15">
            <v>6320</v>
          </cell>
          <cell r="F15">
            <v>442</v>
          </cell>
          <cell r="G15">
            <v>12.4</v>
          </cell>
          <cell r="H15">
            <v>3.29</v>
          </cell>
          <cell r="I15">
            <v>424</v>
          </cell>
          <cell r="J15">
            <v>59.3</v>
          </cell>
          <cell r="K15">
            <v>3.85</v>
          </cell>
          <cell r="L15">
            <v>9.61</v>
          </cell>
          <cell r="M15">
            <v>5.5</v>
          </cell>
          <cell r="N15">
            <v>32</v>
          </cell>
          <cell r="O15" t="str">
            <v>SH298</v>
          </cell>
          <cell r="P15">
            <v>1.2</v>
          </cell>
          <cell r="Q15">
            <v>44</v>
          </cell>
        </row>
        <row r="16">
          <cell r="B16" t="str">
            <v>H-300×150×6.5×9</v>
          </cell>
          <cell r="D16">
            <v>46.78</v>
          </cell>
          <cell r="E16">
            <v>7210</v>
          </cell>
          <cell r="F16">
            <v>508</v>
          </cell>
          <cell r="G16">
            <v>12.4</v>
          </cell>
          <cell r="H16">
            <v>3.29</v>
          </cell>
          <cell r="I16">
            <v>481</v>
          </cell>
          <cell r="J16">
            <v>67.7</v>
          </cell>
          <cell r="K16">
            <v>3.87</v>
          </cell>
          <cell r="L16">
            <v>8.61</v>
          </cell>
          <cell r="M16">
            <v>6.5</v>
          </cell>
          <cell r="N16">
            <v>39.700000000000003</v>
          </cell>
          <cell r="O16" t="str">
            <v>SH300</v>
          </cell>
          <cell r="P16">
            <v>1.2</v>
          </cell>
          <cell r="Q16">
            <v>44</v>
          </cell>
        </row>
        <row r="17">
          <cell r="B17" t="str">
            <v>H-346×174×6×9</v>
          </cell>
          <cell r="D17">
            <v>52.45</v>
          </cell>
          <cell r="E17">
            <v>11000</v>
          </cell>
          <cell r="F17">
            <v>791</v>
          </cell>
          <cell r="G17">
            <v>14.5</v>
          </cell>
          <cell r="H17">
            <v>3.88</v>
          </cell>
          <cell r="I17">
            <v>638</v>
          </cell>
          <cell r="J17">
            <v>91</v>
          </cell>
          <cell r="K17">
            <v>4.53</v>
          </cell>
          <cell r="L17">
            <v>10</v>
          </cell>
          <cell r="M17">
            <v>6</v>
          </cell>
          <cell r="N17">
            <v>41.2</v>
          </cell>
          <cell r="O17" t="str">
            <v>SH346</v>
          </cell>
          <cell r="P17">
            <v>1.4</v>
          </cell>
          <cell r="Q17">
            <v>44</v>
          </cell>
        </row>
        <row r="18">
          <cell r="B18" t="str">
            <v>H-350×175×7×11</v>
          </cell>
          <cell r="D18">
            <v>62.91</v>
          </cell>
          <cell r="E18">
            <v>13500</v>
          </cell>
          <cell r="F18">
            <v>984</v>
          </cell>
          <cell r="G18">
            <v>14.6</v>
          </cell>
          <cell r="H18">
            <v>3.96</v>
          </cell>
          <cell r="I18">
            <v>771</v>
          </cell>
          <cell r="J18">
            <v>112</v>
          </cell>
          <cell r="K18">
            <v>4.5999999999999996</v>
          </cell>
          <cell r="L18">
            <v>8.35</v>
          </cell>
          <cell r="M18">
            <v>7</v>
          </cell>
          <cell r="N18">
            <v>49.4</v>
          </cell>
          <cell r="O18" t="str">
            <v>SH350</v>
          </cell>
          <cell r="P18">
            <v>1.4</v>
          </cell>
          <cell r="Q18">
            <v>44</v>
          </cell>
        </row>
        <row r="19">
          <cell r="B19" t="str">
            <v>H-396×199×7×11</v>
          </cell>
          <cell r="D19">
            <v>71.41</v>
          </cell>
          <cell r="E19">
            <v>19800</v>
          </cell>
          <cell r="F19">
            <v>1450</v>
          </cell>
          <cell r="G19">
            <v>16.600000000000001</v>
          </cell>
          <cell r="H19">
            <v>4.5</v>
          </cell>
          <cell r="I19">
            <v>999</v>
          </cell>
          <cell r="J19">
            <v>145</v>
          </cell>
          <cell r="K19">
            <v>5.23</v>
          </cell>
          <cell r="L19">
            <v>9.4499999999999993</v>
          </cell>
          <cell r="M19">
            <v>7</v>
          </cell>
          <cell r="N19">
            <v>56.1</v>
          </cell>
          <cell r="O19" t="str">
            <v>SH396</v>
          </cell>
          <cell r="P19">
            <v>1.6</v>
          </cell>
          <cell r="Q19">
            <v>44</v>
          </cell>
        </row>
        <row r="20">
          <cell r="B20" t="str">
            <v>H-400×200×8×13</v>
          </cell>
          <cell r="D20">
            <v>83.37</v>
          </cell>
          <cell r="E20">
            <v>23500</v>
          </cell>
          <cell r="F20">
            <v>1740</v>
          </cell>
          <cell r="G20">
            <v>16.8</v>
          </cell>
          <cell r="H20">
            <v>4.5599999999999996</v>
          </cell>
          <cell r="I20">
            <v>1170</v>
          </cell>
          <cell r="J20">
            <v>174</v>
          </cell>
          <cell r="K20">
            <v>5.29</v>
          </cell>
          <cell r="L20">
            <v>8.1300000000000008</v>
          </cell>
          <cell r="M20">
            <v>8</v>
          </cell>
          <cell r="N20">
            <v>65.400000000000006</v>
          </cell>
          <cell r="O20" t="str">
            <v>SH400</v>
          </cell>
          <cell r="P20">
            <v>1.6</v>
          </cell>
          <cell r="Q20">
            <v>44</v>
          </cell>
        </row>
        <row r="21">
          <cell r="B21" t="str">
            <v>H-446×199×8×12</v>
          </cell>
          <cell r="D21">
            <v>82.97</v>
          </cell>
          <cell r="E21">
            <v>28100</v>
          </cell>
          <cell r="F21">
            <v>1580</v>
          </cell>
          <cell r="G21">
            <v>18.399999999999999</v>
          </cell>
          <cell r="H21">
            <v>4.3600000000000003</v>
          </cell>
          <cell r="I21">
            <v>1260</v>
          </cell>
          <cell r="J21">
            <v>159</v>
          </cell>
          <cell r="K21">
            <v>5.16</v>
          </cell>
          <cell r="L21">
            <v>9.64</v>
          </cell>
          <cell r="M21">
            <v>8</v>
          </cell>
          <cell r="N21">
            <v>65.099999999999994</v>
          </cell>
          <cell r="O21" t="str">
            <v>SH446</v>
          </cell>
          <cell r="P21">
            <v>1.7000000000000002</v>
          </cell>
          <cell r="Q21">
            <v>44</v>
          </cell>
        </row>
        <row r="22">
          <cell r="B22" t="str">
            <v>H-450×200×9×14</v>
          </cell>
          <cell r="D22">
            <v>95.43</v>
          </cell>
          <cell r="E22">
            <v>32900</v>
          </cell>
          <cell r="F22">
            <v>1870</v>
          </cell>
          <cell r="G22">
            <v>18.600000000000001</v>
          </cell>
          <cell r="H22">
            <v>4.43</v>
          </cell>
          <cell r="I22">
            <v>1460</v>
          </cell>
          <cell r="J22">
            <v>187</v>
          </cell>
          <cell r="K22">
            <v>5.23</v>
          </cell>
          <cell r="L22">
            <v>8.4</v>
          </cell>
          <cell r="M22">
            <v>9</v>
          </cell>
          <cell r="N22">
            <v>74.900000000000006</v>
          </cell>
          <cell r="O22" t="str">
            <v>SH450</v>
          </cell>
          <cell r="P22">
            <v>1.7000000000000002</v>
          </cell>
          <cell r="Q22">
            <v>44</v>
          </cell>
        </row>
        <row r="23">
          <cell r="B23" t="str">
            <v>H-496×199×9×14</v>
          </cell>
          <cell r="D23">
            <v>99.29</v>
          </cell>
          <cell r="E23">
            <v>40800</v>
          </cell>
          <cell r="F23">
            <v>1840</v>
          </cell>
          <cell r="G23">
            <v>20.3</v>
          </cell>
          <cell r="H23">
            <v>4.3099999999999996</v>
          </cell>
          <cell r="I23">
            <v>1650</v>
          </cell>
          <cell r="J23">
            <v>185</v>
          </cell>
          <cell r="K23">
            <v>5.14</v>
          </cell>
          <cell r="L23">
            <v>9.16</v>
          </cell>
          <cell r="M23">
            <v>9</v>
          </cell>
          <cell r="N23">
            <v>77.900000000000006</v>
          </cell>
          <cell r="O23" t="str">
            <v>SH496</v>
          </cell>
          <cell r="P23">
            <v>1.8</v>
          </cell>
          <cell r="Q23">
            <v>44</v>
          </cell>
        </row>
        <row r="24">
          <cell r="B24" t="str">
            <v>H-500×200×10×16</v>
          </cell>
          <cell r="D24">
            <v>112.2</v>
          </cell>
          <cell r="E24">
            <v>46800</v>
          </cell>
          <cell r="F24">
            <v>2140</v>
          </cell>
          <cell r="G24">
            <v>20.399999999999999</v>
          </cell>
          <cell r="H24">
            <v>4.3600000000000003</v>
          </cell>
          <cell r="I24">
            <v>1870</v>
          </cell>
          <cell r="J24">
            <v>214</v>
          </cell>
          <cell r="K24">
            <v>5.2</v>
          </cell>
          <cell r="L24">
            <v>8.1300000000000008</v>
          </cell>
          <cell r="M24">
            <v>10</v>
          </cell>
          <cell r="N24">
            <v>88.2</v>
          </cell>
          <cell r="O24" t="str">
            <v>SH500</v>
          </cell>
          <cell r="P24">
            <v>1.8</v>
          </cell>
          <cell r="Q24">
            <v>44</v>
          </cell>
        </row>
        <row r="25">
          <cell r="B25" t="str">
            <v>H-596×199×10×15</v>
          </cell>
          <cell r="D25">
            <v>117.8</v>
          </cell>
          <cell r="E25">
            <v>66600</v>
          </cell>
          <cell r="F25">
            <v>1980</v>
          </cell>
          <cell r="G25">
            <v>23.8</v>
          </cell>
          <cell r="H25">
            <v>4.0999999999999996</v>
          </cell>
          <cell r="I25">
            <v>2240</v>
          </cell>
          <cell r="J25">
            <v>199</v>
          </cell>
          <cell r="K25">
            <v>5.03</v>
          </cell>
          <cell r="L25">
            <v>10</v>
          </cell>
          <cell r="M25">
            <v>10</v>
          </cell>
          <cell r="N25">
            <v>92.5</v>
          </cell>
          <cell r="O25" t="str">
            <v>SH596</v>
          </cell>
          <cell r="P25">
            <v>2</v>
          </cell>
          <cell r="Q25">
            <v>44</v>
          </cell>
        </row>
        <row r="26">
          <cell r="B26" t="str">
            <v>H-600×200×11×17</v>
          </cell>
          <cell r="D26">
            <v>137.69999999999999</v>
          </cell>
          <cell r="E26">
            <v>75600</v>
          </cell>
          <cell r="F26">
            <v>2270</v>
          </cell>
          <cell r="G26">
            <v>24</v>
          </cell>
          <cell r="H26">
            <v>4.16</v>
          </cell>
          <cell r="I26">
            <v>2520</v>
          </cell>
          <cell r="J26">
            <v>227</v>
          </cell>
          <cell r="K26">
            <v>5.09</v>
          </cell>
          <cell r="L26">
            <v>8.98</v>
          </cell>
          <cell r="M26">
            <v>11</v>
          </cell>
          <cell r="N26">
            <v>103</v>
          </cell>
          <cell r="O26" t="str">
            <v>SH600</v>
          </cell>
          <cell r="P26">
            <v>2</v>
          </cell>
          <cell r="Q26">
            <v>44</v>
          </cell>
        </row>
        <row r="27">
          <cell r="B27" t="str">
            <v>H-148×100×6×9</v>
          </cell>
          <cell r="D27">
            <v>26.35</v>
          </cell>
          <cell r="E27">
            <v>1000</v>
          </cell>
          <cell r="F27">
            <v>150</v>
          </cell>
          <cell r="G27">
            <v>6.17</v>
          </cell>
          <cell r="H27">
            <v>2.39</v>
          </cell>
          <cell r="I27">
            <v>135</v>
          </cell>
          <cell r="J27">
            <v>30.1</v>
          </cell>
          <cell r="K27">
            <v>2.71</v>
          </cell>
          <cell r="L27">
            <v>4.46</v>
          </cell>
          <cell r="M27">
            <v>6</v>
          </cell>
          <cell r="N27">
            <v>20.7</v>
          </cell>
          <cell r="O27" t="str">
            <v>MH148</v>
          </cell>
        </row>
        <row r="28">
          <cell r="B28" t="str">
            <v>H-194×150×6×9</v>
          </cell>
          <cell r="D28">
            <v>38.11</v>
          </cell>
          <cell r="E28">
            <v>2630</v>
          </cell>
          <cell r="F28">
            <v>507</v>
          </cell>
          <cell r="G28">
            <v>8.3000000000000007</v>
          </cell>
          <cell r="H28">
            <v>3.65</v>
          </cell>
          <cell r="I28">
            <v>271</v>
          </cell>
          <cell r="J28">
            <v>67.599999999999994</v>
          </cell>
          <cell r="K28">
            <v>4.09</v>
          </cell>
          <cell r="L28">
            <v>5.87</v>
          </cell>
          <cell r="M28">
            <v>6</v>
          </cell>
          <cell r="N28">
            <v>29.9</v>
          </cell>
          <cell r="O28" t="str">
            <v>MH194</v>
          </cell>
        </row>
        <row r="29">
          <cell r="B29" t="str">
            <v>H-244×175×7×11</v>
          </cell>
          <cell r="E29">
            <v>6040</v>
          </cell>
          <cell r="I29">
            <v>465</v>
          </cell>
          <cell r="K29">
            <v>4.72</v>
          </cell>
          <cell r="L29">
            <v>5.99</v>
          </cell>
          <cell r="M29">
            <v>7</v>
          </cell>
          <cell r="N29">
            <v>43.6</v>
          </cell>
          <cell r="O29" t="str">
            <v>MH244</v>
          </cell>
        </row>
        <row r="30">
          <cell r="B30" t="str">
            <v>H-294×200×8×12</v>
          </cell>
          <cell r="E30">
            <v>11100</v>
          </cell>
          <cell r="I30">
            <v>756</v>
          </cell>
          <cell r="K30">
            <v>5.38</v>
          </cell>
          <cell r="L30">
            <v>6.59</v>
          </cell>
          <cell r="M30">
            <v>8</v>
          </cell>
          <cell r="N30">
            <v>55.8</v>
          </cell>
          <cell r="O30" t="str">
            <v>MH294</v>
          </cell>
        </row>
        <row r="31">
          <cell r="B31" t="str">
            <v>H-340×250×9×14</v>
          </cell>
          <cell r="E31">
            <v>21200</v>
          </cell>
          <cell r="I31">
            <v>1250</v>
          </cell>
          <cell r="K31">
            <v>6.79</v>
          </cell>
          <cell r="L31">
            <v>6.6</v>
          </cell>
          <cell r="M31">
            <v>9</v>
          </cell>
          <cell r="N31">
            <v>78.099999999999994</v>
          </cell>
          <cell r="O31" t="str">
            <v>MH340</v>
          </cell>
        </row>
        <row r="32">
          <cell r="B32" t="str">
            <v>H-390×300×10×16</v>
          </cell>
          <cell r="E32">
            <v>37900</v>
          </cell>
          <cell r="I32">
            <v>1940</v>
          </cell>
          <cell r="K32">
            <v>8.19</v>
          </cell>
          <cell r="L32">
            <v>6.66</v>
          </cell>
          <cell r="M32">
            <v>10</v>
          </cell>
          <cell r="N32">
            <v>105</v>
          </cell>
          <cell r="O32" t="str">
            <v>MH390</v>
          </cell>
        </row>
        <row r="33">
          <cell r="B33" t="str">
            <v>H-440×300×11×18</v>
          </cell>
          <cell r="E33">
            <v>54700</v>
          </cell>
          <cell r="I33">
            <v>2490</v>
          </cell>
          <cell r="K33">
            <v>8.16</v>
          </cell>
          <cell r="L33">
            <v>6.65</v>
          </cell>
          <cell r="M33">
            <v>11</v>
          </cell>
          <cell r="N33">
            <v>121</v>
          </cell>
          <cell r="O33" t="str">
            <v>MH440</v>
          </cell>
        </row>
        <row r="34">
          <cell r="B34" t="str">
            <v>H-488×300×11×18</v>
          </cell>
          <cell r="D34">
            <v>159.19999999999999</v>
          </cell>
          <cell r="E34">
            <v>68900</v>
          </cell>
          <cell r="F34">
            <v>8110</v>
          </cell>
          <cell r="G34">
            <v>20.8</v>
          </cell>
          <cell r="H34">
            <v>7.14</v>
          </cell>
          <cell r="I34">
            <v>2820</v>
          </cell>
          <cell r="J34">
            <v>540</v>
          </cell>
          <cell r="K34">
            <v>8.1</v>
          </cell>
          <cell r="L34">
            <v>7.32</v>
          </cell>
          <cell r="M34">
            <v>11</v>
          </cell>
          <cell r="N34">
            <v>125</v>
          </cell>
          <cell r="O34" t="str">
            <v>MH488</v>
          </cell>
        </row>
        <row r="35">
          <cell r="B35" t="str">
            <v>H-588×300×12×20</v>
          </cell>
          <cell r="D35">
            <v>187.2</v>
          </cell>
          <cell r="E35">
            <v>114000</v>
          </cell>
          <cell r="F35">
            <v>9010</v>
          </cell>
          <cell r="G35">
            <v>24.7</v>
          </cell>
          <cell r="H35">
            <v>6.94</v>
          </cell>
          <cell r="I35">
            <v>3890</v>
          </cell>
          <cell r="J35">
            <v>601</v>
          </cell>
          <cell r="K35">
            <v>8.01</v>
          </cell>
          <cell r="L35">
            <v>7.85</v>
          </cell>
          <cell r="M35">
            <v>12</v>
          </cell>
          <cell r="N35">
            <v>147</v>
          </cell>
          <cell r="O35" t="str">
            <v>MH588</v>
          </cell>
          <cell r="Q35">
            <v>47</v>
          </cell>
        </row>
        <row r="36">
          <cell r="B36" t="str">
            <v>H-100×100×6×8</v>
          </cell>
          <cell r="D36">
            <v>21.59</v>
          </cell>
          <cell r="E36">
            <v>378</v>
          </cell>
          <cell r="F36">
            <v>134</v>
          </cell>
          <cell r="G36">
            <v>4.18</v>
          </cell>
          <cell r="H36">
            <v>2.4900000000000002</v>
          </cell>
          <cell r="I36">
            <v>75.599999999999994</v>
          </cell>
          <cell r="J36">
            <v>26.7</v>
          </cell>
          <cell r="K36">
            <v>2.75</v>
          </cell>
          <cell r="L36">
            <v>3.44</v>
          </cell>
          <cell r="M36">
            <v>6</v>
          </cell>
          <cell r="N36">
            <v>16.899999999999999</v>
          </cell>
          <cell r="O36" t="str">
            <v>WH100</v>
          </cell>
          <cell r="P36">
            <v>0.60000000000000009</v>
          </cell>
          <cell r="Q36">
            <v>47</v>
          </cell>
        </row>
        <row r="37">
          <cell r="B37" t="str">
            <v>H-125×125×6.5×9</v>
          </cell>
          <cell r="D37">
            <v>30</v>
          </cell>
          <cell r="E37">
            <v>839</v>
          </cell>
          <cell r="F37">
            <v>293</v>
          </cell>
          <cell r="G37">
            <v>5.29</v>
          </cell>
          <cell r="H37">
            <v>3.13</v>
          </cell>
          <cell r="I37">
            <v>134</v>
          </cell>
          <cell r="J37">
            <v>46.9</v>
          </cell>
          <cell r="K37">
            <v>3.45</v>
          </cell>
          <cell r="L37">
            <v>3.84</v>
          </cell>
          <cell r="M37">
            <v>6.5</v>
          </cell>
          <cell r="N37">
            <v>23.6</v>
          </cell>
          <cell r="O37" t="str">
            <v>WH125</v>
          </cell>
          <cell r="P37">
            <v>0.75</v>
          </cell>
          <cell r="Q37">
            <v>47</v>
          </cell>
        </row>
        <row r="38">
          <cell r="B38" t="str">
            <v>H-150×150×7×10</v>
          </cell>
          <cell r="D38">
            <v>39.65</v>
          </cell>
          <cell r="E38">
            <v>1620</v>
          </cell>
          <cell r="F38">
            <v>563</v>
          </cell>
          <cell r="G38">
            <v>6.4</v>
          </cell>
          <cell r="H38">
            <v>3.77</v>
          </cell>
          <cell r="I38">
            <v>216</v>
          </cell>
          <cell r="J38">
            <v>75.099999999999994</v>
          </cell>
          <cell r="K38">
            <v>4.1500000000000004</v>
          </cell>
          <cell r="L38">
            <v>4.1500000000000004</v>
          </cell>
          <cell r="M38">
            <v>7</v>
          </cell>
          <cell r="N38">
            <v>31.1</v>
          </cell>
          <cell r="O38" t="str">
            <v>WH150</v>
          </cell>
          <cell r="P38">
            <v>0.89999999999999991</v>
          </cell>
          <cell r="Q38">
            <v>47</v>
          </cell>
        </row>
        <row r="39">
          <cell r="B39" t="str">
            <v>H-175×175×7.5×11</v>
          </cell>
          <cell r="D39">
            <v>51.42</v>
          </cell>
          <cell r="E39">
            <v>2900</v>
          </cell>
          <cell r="F39">
            <v>984</v>
          </cell>
          <cell r="G39">
            <v>7.5</v>
          </cell>
          <cell r="H39">
            <v>4.37</v>
          </cell>
          <cell r="I39">
            <v>331</v>
          </cell>
          <cell r="J39">
            <v>112</v>
          </cell>
          <cell r="K39">
            <v>4.8</v>
          </cell>
          <cell r="L39">
            <v>4.3600000000000003</v>
          </cell>
          <cell r="M39">
            <v>7.5</v>
          </cell>
          <cell r="N39">
            <v>40.4</v>
          </cell>
          <cell r="O39" t="str">
            <v>WH175</v>
          </cell>
          <cell r="P39">
            <v>1.0499999999999998</v>
          </cell>
          <cell r="Q39">
            <v>47</v>
          </cell>
        </row>
        <row r="40">
          <cell r="B40" t="str">
            <v>H-200×200×8×12</v>
          </cell>
          <cell r="D40">
            <v>63.53</v>
          </cell>
          <cell r="E40">
            <v>4720</v>
          </cell>
          <cell r="F40">
            <v>1600</v>
          </cell>
          <cell r="G40">
            <v>8.6199999999999992</v>
          </cell>
          <cell r="H40">
            <v>5.0199999999999996</v>
          </cell>
          <cell r="I40">
            <v>472</v>
          </cell>
          <cell r="J40">
            <v>160</v>
          </cell>
          <cell r="K40">
            <v>5.5</v>
          </cell>
          <cell r="L40">
            <v>4.59</v>
          </cell>
          <cell r="M40">
            <v>8</v>
          </cell>
          <cell r="N40">
            <v>49.9</v>
          </cell>
          <cell r="O40" t="str">
            <v>WH200</v>
          </cell>
          <cell r="P40">
            <v>1.2000000000000002</v>
          </cell>
          <cell r="Q40">
            <v>47</v>
          </cell>
        </row>
        <row r="42">
          <cell r="B42" t="str">
            <v>□ -60x60x2.3</v>
          </cell>
          <cell r="D42">
            <v>5.1719999999999997</v>
          </cell>
          <cell r="E42">
            <v>28.3</v>
          </cell>
          <cell r="F42">
            <v>28.3</v>
          </cell>
          <cell r="G42">
            <v>2.34</v>
          </cell>
          <cell r="H42">
            <v>2.34</v>
          </cell>
          <cell r="I42">
            <v>9.3000000000000007</v>
          </cell>
          <cell r="J42">
            <v>9.3000000000000007</v>
          </cell>
          <cell r="K42" t="str">
            <v>-</v>
          </cell>
          <cell r="L42" t="str">
            <v>-</v>
          </cell>
          <cell r="M42">
            <v>2.2999999999999998</v>
          </cell>
          <cell r="N42">
            <v>4.0599999999999996</v>
          </cell>
          <cell r="O42" t="str">
            <v>□60x2.3</v>
          </cell>
          <cell r="P42">
            <v>0.24</v>
          </cell>
          <cell r="Q42">
            <v>65.55</v>
          </cell>
          <cell r="R42">
            <v>26.086956521739133</v>
          </cell>
        </row>
        <row r="43">
          <cell r="B43" t="str">
            <v>□ -125x125x3.2</v>
          </cell>
          <cell r="D43">
            <v>15.33</v>
          </cell>
          <cell r="E43">
            <v>376</v>
          </cell>
          <cell r="F43">
            <v>376</v>
          </cell>
          <cell r="G43">
            <v>4.95</v>
          </cell>
          <cell r="H43">
            <v>4.95</v>
          </cell>
          <cell r="I43">
            <v>60.1</v>
          </cell>
          <cell r="J43">
            <v>60.1</v>
          </cell>
          <cell r="K43" t="str">
            <v>-</v>
          </cell>
          <cell r="L43" t="str">
            <v>-</v>
          </cell>
          <cell r="M43">
            <v>3.2</v>
          </cell>
          <cell r="N43">
            <v>12</v>
          </cell>
          <cell r="O43" t="str">
            <v>□125x3.2</v>
          </cell>
          <cell r="P43">
            <v>0.5</v>
          </cell>
          <cell r="Q43">
            <v>58</v>
          </cell>
          <cell r="R43">
            <v>39.0625</v>
          </cell>
        </row>
        <row r="44">
          <cell r="B44" t="str">
            <v>□ -125x125x4.5</v>
          </cell>
          <cell r="D44">
            <v>21.17</v>
          </cell>
          <cell r="E44">
            <v>506</v>
          </cell>
          <cell r="F44">
            <v>506</v>
          </cell>
          <cell r="G44">
            <v>4.8899999999999997</v>
          </cell>
          <cell r="H44">
            <v>4.8899999999999997</v>
          </cell>
          <cell r="I44">
            <v>80.900000000000006</v>
          </cell>
          <cell r="J44">
            <v>80.900000000000006</v>
          </cell>
          <cell r="K44" t="str">
            <v>-</v>
          </cell>
          <cell r="L44" t="str">
            <v>-</v>
          </cell>
          <cell r="M44">
            <v>4.45</v>
          </cell>
          <cell r="N44">
            <v>16.600000000000001</v>
          </cell>
          <cell r="O44" t="str">
            <v>□125x4.5</v>
          </cell>
          <cell r="P44">
            <v>0.5</v>
          </cell>
          <cell r="Q44">
            <v>62</v>
          </cell>
          <cell r="R44">
            <v>27.777777777777779</v>
          </cell>
        </row>
        <row r="45">
          <cell r="B45" t="str">
            <v>□ -125x125x6.0</v>
          </cell>
          <cell r="D45">
            <v>27.63</v>
          </cell>
          <cell r="E45">
            <v>641</v>
          </cell>
          <cell r="F45">
            <v>641</v>
          </cell>
          <cell r="G45">
            <v>4.82</v>
          </cell>
          <cell r="H45">
            <v>4.82</v>
          </cell>
          <cell r="I45">
            <v>103</v>
          </cell>
          <cell r="J45">
            <v>103</v>
          </cell>
          <cell r="K45" t="str">
            <v>-</v>
          </cell>
          <cell r="L45" t="str">
            <v>-</v>
          </cell>
          <cell r="M45">
            <v>4.45</v>
          </cell>
          <cell r="N45">
            <v>21.7</v>
          </cell>
          <cell r="O45" t="str">
            <v>□125x6.0</v>
          </cell>
          <cell r="P45">
            <v>0.5</v>
          </cell>
          <cell r="Q45">
            <v>69</v>
          </cell>
          <cell r="R45">
            <v>20.833333333333332</v>
          </cell>
        </row>
        <row r="46">
          <cell r="B46" t="str">
            <v>□ -125x125x9.0</v>
          </cell>
          <cell r="D46">
            <v>39.67</v>
          </cell>
          <cell r="E46">
            <v>865</v>
          </cell>
          <cell r="F46">
            <v>865</v>
          </cell>
          <cell r="G46">
            <v>4.67</v>
          </cell>
          <cell r="H46">
            <v>4.67</v>
          </cell>
          <cell r="I46">
            <v>138</v>
          </cell>
          <cell r="J46">
            <v>138</v>
          </cell>
          <cell r="K46" t="str">
            <v>-</v>
          </cell>
          <cell r="L46" t="str">
            <v>-</v>
          </cell>
          <cell r="M46">
            <v>9</v>
          </cell>
          <cell r="N46">
            <v>31.1</v>
          </cell>
          <cell r="O46" t="str">
            <v>□125x9.0</v>
          </cell>
          <cell r="P46">
            <v>0.5</v>
          </cell>
          <cell r="Q46">
            <v>95</v>
          </cell>
          <cell r="R46">
            <v>13.888888888888889</v>
          </cell>
        </row>
        <row r="47">
          <cell r="B47" t="str">
            <v>□ -100x100x2.3</v>
          </cell>
          <cell r="D47">
            <v>8.8520000000000003</v>
          </cell>
          <cell r="E47">
            <v>140</v>
          </cell>
          <cell r="F47">
            <v>140</v>
          </cell>
          <cell r="G47">
            <v>3.97</v>
          </cell>
          <cell r="H47">
            <v>3.97</v>
          </cell>
          <cell r="I47">
            <v>27.9</v>
          </cell>
          <cell r="J47">
            <v>27.9</v>
          </cell>
          <cell r="K47" t="str">
            <v>-</v>
          </cell>
          <cell r="L47" t="str">
            <v>-</v>
          </cell>
          <cell r="M47">
            <v>2.2999999999999998</v>
          </cell>
          <cell r="N47">
            <v>6.95</v>
          </cell>
          <cell r="O47" t="str">
            <v>□100x2.3</v>
          </cell>
          <cell r="P47">
            <v>0.4</v>
          </cell>
          <cell r="Q47">
            <v>58</v>
          </cell>
          <cell r="R47">
            <v>43.478260869565219</v>
          </cell>
        </row>
        <row r="48">
          <cell r="B48" t="str">
            <v>□ -100x100x3.2</v>
          </cell>
          <cell r="D48">
            <v>12.13</v>
          </cell>
          <cell r="E48">
            <v>187</v>
          </cell>
          <cell r="F48">
            <v>187</v>
          </cell>
          <cell r="G48">
            <v>3.93</v>
          </cell>
          <cell r="H48">
            <v>3.93</v>
          </cell>
          <cell r="I48">
            <v>37.5</v>
          </cell>
          <cell r="J48">
            <v>37.5</v>
          </cell>
          <cell r="K48" t="str">
            <v>-</v>
          </cell>
          <cell r="L48" t="str">
            <v>-</v>
          </cell>
          <cell r="M48">
            <v>3.2</v>
          </cell>
          <cell r="N48">
            <v>9.52</v>
          </cell>
          <cell r="O48" t="str">
            <v>□100x3.2</v>
          </cell>
          <cell r="P48">
            <v>0.4</v>
          </cell>
          <cell r="Q48">
            <v>64</v>
          </cell>
          <cell r="R48">
            <v>31.25</v>
          </cell>
        </row>
        <row r="49">
          <cell r="B49" t="str">
            <v>□ -100x100x4.5</v>
          </cell>
          <cell r="D49">
            <v>16.670000000000002</v>
          </cell>
          <cell r="E49">
            <v>249</v>
          </cell>
          <cell r="F49">
            <v>249</v>
          </cell>
          <cell r="G49">
            <v>3.87</v>
          </cell>
          <cell r="H49">
            <v>3.87</v>
          </cell>
          <cell r="I49">
            <v>49.9</v>
          </cell>
          <cell r="J49">
            <v>49.9</v>
          </cell>
          <cell r="K49" t="str">
            <v>-</v>
          </cell>
          <cell r="L49" t="str">
            <v>-</v>
          </cell>
          <cell r="M49">
            <v>4.5</v>
          </cell>
          <cell r="N49">
            <v>13.1</v>
          </cell>
          <cell r="O49" t="str">
            <v>□100x4.5</v>
          </cell>
          <cell r="P49">
            <v>0.4</v>
          </cell>
          <cell r="Q49">
            <v>67</v>
          </cell>
          <cell r="R49">
            <v>22.222222222222221</v>
          </cell>
        </row>
        <row r="50">
          <cell r="B50" t="str">
            <v>□ -100x100x6.0</v>
          </cell>
          <cell r="D50">
            <v>21.63</v>
          </cell>
          <cell r="E50">
            <v>311</v>
          </cell>
          <cell r="F50">
            <v>311</v>
          </cell>
          <cell r="G50">
            <v>3.79</v>
          </cell>
          <cell r="H50">
            <v>3.79</v>
          </cell>
          <cell r="I50">
            <v>62.3</v>
          </cell>
          <cell r="J50">
            <v>62.3</v>
          </cell>
          <cell r="K50" t="str">
            <v>-</v>
          </cell>
          <cell r="L50" t="str">
            <v>-</v>
          </cell>
          <cell r="M50">
            <v>6</v>
          </cell>
          <cell r="N50">
            <v>17</v>
          </cell>
          <cell r="O50" t="str">
            <v>□100x6.0</v>
          </cell>
          <cell r="P50">
            <v>0.4</v>
          </cell>
          <cell r="Q50">
            <v>92</v>
          </cell>
          <cell r="R50">
            <v>16.666666666666668</v>
          </cell>
        </row>
        <row r="51">
          <cell r="B51" t="str">
            <v>□ -100x100x9.0</v>
          </cell>
          <cell r="D51">
            <v>30.67</v>
          </cell>
          <cell r="E51">
            <v>408</v>
          </cell>
          <cell r="F51">
            <v>408</v>
          </cell>
          <cell r="G51">
            <v>3.65</v>
          </cell>
          <cell r="H51">
            <v>3.65</v>
          </cell>
          <cell r="I51">
            <v>81.599999999999994</v>
          </cell>
          <cell r="J51">
            <v>81.599999999999994</v>
          </cell>
          <cell r="K51" t="str">
            <v>-</v>
          </cell>
          <cell r="L51" t="str">
            <v>-</v>
          </cell>
          <cell r="M51">
            <v>9</v>
          </cell>
          <cell r="N51">
            <v>24.1</v>
          </cell>
          <cell r="O51" t="str">
            <v>□100x9.0</v>
          </cell>
          <cell r="P51">
            <v>0.4</v>
          </cell>
          <cell r="Q51">
            <v>113</v>
          </cell>
          <cell r="R51">
            <v>11.111111111111111</v>
          </cell>
        </row>
        <row r="52">
          <cell r="B52" t="str">
            <v>□ -100x100x12</v>
          </cell>
          <cell r="D52">
            <v>38.53</v>
          </cell>
          <cell r="E52">
            <v>471</v>
          </cell>
          <cell r="F52">
            <v>471</v>
          </cell>
          <cell r="G52">
            <v>3.5</v>
          </cell>
          <cell r="H52">
            <v>3.5</v>
          </cell>
          <cell r="I52">
            <v>94.3</v>
          </cell>
          <cell r="J52">
            <v>94.3</v>
          </cell>
          <cell r="K52" t="str">
            <v>-</v>
          </cell>
          <cell r="L52" t="str">
            <v>-</v>
          </cell>
          <cell r="M52">
            <v>12</v>
          </cell>
          <cell r="N52">
            <v>30.2</v>
          </cell>
          <cell r="O52" t="str">
            <v>□100x12</v>
          </cell>
          <cell r="P52">
            <v>0.4</v>
          </cell>
          <cell r="Q52">
            <v>95</v>
          </cell>
          <cell r="R52">
            <v>8.3333333333333339</v>
          </cell>
        </row>
        <row r="53">
          <cell r="B53" t="str">
            <v>□ -150x150x4.5</v>
          </cell>
          <cell r="D53">
            <v>25.67</v>
          </cell>
          <cell r="E53">
            <v>896</v>
          </cell>
          <cell r="F53">
            <v>896</v>
          </cell>
          <cell r="G53">
            <v>5.91</v>
          </cell>
          <cell r="H53">
            <v>5.91</v>
          </cell>
          <cell r="I53">
            <v>120</v>
          </cell>
          <cell r="J53">
            <v>120</v>
          </cell>
          <cell r="K53" t="str">
            <v>-</v>
          </cell>
          <cell r="L53" t="str">
            <v>-</v>
          </cell>
          <cell r="M53">
            <v>4.45</v>
          </cell>
          <cell r="N53">
            <v>20.100000000000001</v>
          </cell>
          <cell r="O53" t="str">
            <v>□150x4.5</v>
          </cell>
          <cell r="P53">
            <v>0.6</v>
          </cell>
          <cell r="Q53">
            <v>55</v>
          </cell>
          <cell r="R53">
            <v>33.333333333333336</v>
          </cell>
        </row>
        <row r="54">
          <cell r="B54" t="str">
            <v>□ -150x150x6.0</v>
          </cell>
          <cell r="D54">
            <v>33.630000000000003</v>
          </cell>
          <cell r="E54">
            <v>1150</v>
          </cell>
          <cell r="F54">
            <v>1150</v>
          </cell>
          <cell r="G54">
            <v>5.84</v>
          </cell>
          <cell r="H54">
            <v>5.84</v>
          </cell>
          <cell r="I54">
            <v>153</v>
          </cell>
          <cell r="J54">
            <v>153</v>
          </cell>
          <cell r="K54" t="str">
            <v>-</v>
          </cell>
          <cell r="L54" t="str">
            <v>-</v>
          </cell>
          <cell r="M54">
            <v>4.45</v>
          </cell>
          <cell r="N54">
            <v>26.4</v>
          </cell>
          <cell r="O54" t="str">
            <v>□150x6.0</v>
          </cell>
          <cell r="P54">
            <v>0.6</v>
          </cell>
          <cell r="Q54">
            <v>55</v>
          </cell>
          <cell r="R54">
            <v>25</v>
          </cell>
        </row>
        <row r="55">
          <cell r="B55" t="str">
            <v>□ -150x150x9.0</v>
          </cell>
          <cell r="D55">
            <v>48.67</v>
          </cell>
          <cell r="E55">
            <v>1580</v>
          </cell>
          <cell r="F55">
            <v>1580</v>
          </cell>
          <cell r="G55">
            <v>5.6390000000000002</v>
          </cell>
          <cell r="H55">
            <v>5.6390000000000002</v>
          </cell>
          <cell r="I55">
            <v>210</v>
          </cell>
          <cell r="J55">
            <v>210</v>
          </cell>
          <cell r="K55" t="str">
            <v>-</v>
          </cell>
          <cell r="L55" t="str">
            <v>-</v>
          </cell>
          <cell r="M55">
            <v>9</v>
          </cell>
          <cell r="N55">
            <v>38.200000000000003</v>
          </cell>
          <cell r="O55" t="str">
            <v>□150x9.0</v>
          </cell>
          <cell r="P55">
            <v>0.6</v>
          </cell>
          <cell r="Q55">
            <v>95</v>
          </cell>
          <cell r="R55">
            <v>16.666666666666668</v>
          </cell>
        </row>
        <row r="56">
          <cell r="B56" t="str">
            <v>□ -150x100x4.5</v>
          </cell>
          <cell r="D56">
            <v>21.17</v>
          </cell>
          <cell r="E56">
            <v>658</v>
          </cell>
          <cell r="F56">
            <v>352</v>
          </cell>
          <cell r="G56">
            <v>5.58</v>
          </cell>
          <cell r="H56">
            <v>4.08</v>
          </cell>
          <cell r="I56">
            <v>87.7</v>
          </cell>
          <cell r="J56">
            <v>70.400000000000006</v>
          </cell>
          <cell r="K56" t="str">
            <v>-</v>
          </cell>
          <cell r="L56" t="str">
            <v>-</v>
          </cell>
          <cell r="M56">
            <v>4.45</v>
          </cell>
          <cell r="N56">
            <v>16.600000000000001</v>
          </cell>
          <cell r="O56" t="str">
            <v>□1510t4.5</v>
          </cell>
          <cell r="P56">
            <v>0.5</v>
          </cell>
          <cell r="Q56">
            <v>55</v>
          </cell>
          <cell r="R56">
            <v>33.333333333333336</v>
          </cell>
        </row>
        <row r="57">
          <cell r="B57" t="str">
            <v>□ -150x100x6.0</v>
          </cell>
          <cell r="D57">
            <v>27.63</v>
          </cell>
          <cell r="E57">
            <v>835</v>
          </cell>
          <cell r="F57">
            <v>444</v>
          </cell>
          <cell r="G57">
            <v>5.5</v>
          </cell>
          <cell r="H57">
            <v>4.01</v>
          </cell>
          <cell r="I57">
            <v>111</v>
          </cell>
          <cell r="J57">
            <v>88.8</v>
          </cell>
          <cell r="K57" t="str">
            <v>-</v>
          </cell>
          <cell r="L57" t="str">
            <v>-</v>
          </cell>
          <cell r="M57">
            <v>4.45</v>
          </cell>
          <cell r="N57">
            <v>21.7</v>
          </cell>
          <cell r="O57" t="str">
            <v>□1510t6.0</v>
          </cell>
          <cell r="P57">
            <v>0.5</v>
          </cell>
          <cell r="Q57">
            <v>55</v>
          </cell>
          <cell r="R57">
            <v>33.333333333333336</v>
          </cell>
        </row>
        <row r="58">
          <cell r="B58" t="str">
            <v>□ -150x100x9.0</v>
          </cell>
          <cell r="D58">
            <v>39.67</v>
          </cell>
          <cell r="E58">
            <v>1130</v>
          </cell>
          <cell r="F58">
            <v>595</v>
          </cell>
          <cell r="G58">
            <v>5.33</v>
          </cell>
          <cell r="H58">
            <v>3.87</v>
          </cell>
          <cell r="I58">
            <v>151</v>
          </cell>
          <cell r="J58">
            <v>119</v>
          </cell>
          <cell r="K58" t="str">
            <v>-</v>
          </cell>
          <cell r="L58" t="str">
            <v>-</v>
          </cell>
          <cell r="M58">
            <v>4.45</v>
          </cell>
          <cell r="N58">
            <v>31.1</v>
          </cell>
          <cell r="O58" t="str">
            <v>□1510t9.0</v>
          </cell>
          <cell r="P58">
            <v>0.5</v>
          </cell>
          <cell r="Q58">
            <v>95</v>
          </cell>
          <cell r="R58">
            <v>33.333333333333336</v>
          </cell>
        </row>
        <row r="59">
          <cell r="B59" t="str">
            <v>□ -100x100x3.2+□50t2.3</v>
          </cell>
          <cell r="D59">
            <v>18.68</v>
          </cell>
          <cell r="E59">
            <v>445.3</v>
          </cell>
          <cell r="F59">
            <v>271.8</v>
          </cell>
          <cell r="G59">
            <v>4.9400000000000004</v>
          </cell>
          <cell r="H59">
            <v>3.81</v>
          </cell>
          <cell r="N59">
            <v>22.65</v>
          </cell>
          <cell r="O59" t="str">
            <v>□100x3.2+□50t2.3</v>
          </cell>
        </row>
        <row r="60">
          <cell r="B60" t="str">
            <v>□ -100x100x6.0+□50t4.5</v>
          </cell>
          <cell r="D60">
            <v>33.799999999999997</v>
          </cell>
          <cell r="E60">
            <v>797.98</v>
          </cell>
          <cell r="F60">
            <v>458</v>
          </cell>
          <cell r="G60">
            <v>4.8600000000000003</v>
          </cell>
          <cell r="H60">
            <v>3.68</v>
          </cell>
          <cell r="N60">
            <v>26.55</v>
          </cell>
          <cell r="O60" t="str">
            <v>□100x6.0+□50t4.5</v>
          </cell>
        </row>
        <row r="61">
          <cell r="B61" t="str">
            <v>□ -100x100x9.0+□50t4.5</v>
          </cell>
          <cell r="D61">
            <v>42.84</v>
          </cell>
          <cell r="E61">
            <v>946.99</v>
          </cell>
          <cell r="F61">
            <v>555</v>
          </cell>
          <cell r="G61">
            <v>4.7</v>
          </cell>
          <cell r="H61">
            <v>3.6</v>
          </cell>
          <cell r="N61">
            <v>33.650000000000006</v>
          </cell>
          <cell r="O61" t="str">
            <v>□100x9.0+□50t4.5</v>
          </cell>
        </row>
        <row r="62">
          <cell r="B62" t="str">
            <v>□ -125x75x2.3</v>
          </cell>
          <cell r="D62">
            <v>8.8520000000000003</v>
          </cell>
          <cell r="E62">
            <v>192</v>
          </cell>
          <cell r="F62">
            <v>87.5</v>
          </cell>
          <cell r="G62">
            <v>4.6500000000000004</v>
          </cell>
          <cell r="H62">
            <v>3.14</v>
          </cell>
          <cell r="I62">
            <v>30.6</v>
          </cell>
          <cell r="J62">
            <v>23.3</v>
          </cell>
          <cell r="K62" t="str">
            <v>-</v>
          </cell>
          <cell r="L62" t="str">
            <v>-</v>
          </cell>
          <cell r="M62">
            <v>3.2</v>
          </cell>
          <cell r="N62">
            <v>6.95</v>
          </cell>
          <cell r="O62" t="str">
            <v>□125Yx2.3</v>
          </cell>
          <cell r="Q62">
            <v>50</v>
          </cell>
          <cell r="R62">
            <v>54.347826086956523</v>
          </cell>
        </row>
        <row r="63">
          <cell r="B63" t="str">
            <v>□ -125x75x3.2</v>
          </cell>
          <cell r="D63">
            <v>12.13</v>
          </cell>
          <cell r="E63">
            <v>257</v>
          </cell>
          <cell r="F63">
            <v>117</v>
          </cell>
          <cell r="G63">
            <v>4.5999999999999996</v>
          </cell>
          <cell r="H63">
            <v>3.1</v>
          </cell>
          <cell r="I63">
            <v>41.1</v>
          </cell>
          <cell r="J63">
            <v>31.1</v>
          </cell>
          <cell r="K63" t="str">
            <v>-</v>
          </cell>
          <cell r="L63" t="str">
            <v>-</v>
          </cell>
          <cell r="M63">
            <v>4.45</v>
          </cell>
          <cell r="N63">
            <v>9.52</v>
          </cell>
          <cell r="O63" t="str">
            <v>□125Yx3.2</v>
          </cell>
          <cell r="Q63">
            <v>55</v>
          </cell>
          <cell r="R63">
            <v>39.0625</v>
          </cell>
        </row>
        <row r="64">
          <cell r="B64" t="str">
            <v>□ -125x75x4.5</v>
          </cell>
          <cell r="D64">
            <v>16.670000000000002</v>
          </cell>
          <cell r="E64">
            <v>342</v>
          </cell>
          <cell r="F64">
            <v>155</v>
          </cell>
          <cell r="G64">
            <v>4.53</v>
          </cell>
          <cell r="H64">
            <v>3.04</v>
          </cell>
          <cell r="I64">
            <v>54.8</v>
          </cell>
          <cell r="J64">
            <v>41.2</v>
          </cell>
          <cell r="K64" t="str">
            <v>-</v>
          </cell>
          <cell r="L64" t="str">
            <v>-</v>
          </cell>
          <cell r="M64">
            <v>4.45</v>
          </cell>
          <cell r="N64">
            <v>13.1</v>
          </cell>
          <cell r="O64" t="str">
            <v>□125Yx4.5</v>
          </cell>
          <cell r="Q64">
            <v>55</v>
          </cell>
          <cell r="R64">
            <v>27.777777777777779</v>
          </cell>
        </row>
        <row r="65">
          <cell r="B65" t="str">
            <v>□ -125x75x6.0</v>
          </cell>
          <cell r="D65">
            <v>21.63</v>
          </cell>
          <cell r="E65">
            <v>428</v>
          </cell>
          <cell r="F65">
            <v>192</v>
          </cell>
          <cell r="G65">
            <v>4.45</v>
          </cell>
          <cell r="H65">
            <v>2.98</v>
          </cell>
          <cell r="I65">
            <v>68.5</v>
          </cell>
          <cell r="J65">
            <v>51.1</v>
          </cell>
          <cell r="K65" t="str">
            <v>-</v>
          </cell>
          <cell r="L65" t="str">
            <v>-</v>
          </cell>
          <cell r="M65">
            <v>9</v>
          </cell>
          <cell r="N65">
            <v>17</v>
          </cell>
          <cell r="O65" t="str">
            <v>□125Yx6.0</v>
          </cell>
          <cell r="Q65">
            <v>95</v>
          </cell>
          <cell r="R65">
            <v>20.833333333333332</v>
          </cell>
        </row>
        <row r="66">
          <cell r="B66" t="str">
            <v>□ -75x75x2.3</v>
          </cell>
          <cell r="D66">
            <v>6.5519999999999996</v>
          </cell>
          <cell r="E66">
            <v>57.1</v>
          </cell>
          <cell r="F66">
            <v>57.1</v>
          </cell>
          <cell r="G66">
            <v>2.95</v>
          </cell>
          <cell r="H66">
            <v>2.95</v>
          </cell>
          <cell r="I66">
            <v>15.2</v>
          </cell>
          <cell r="J66">
            <v>15.2</v>
          </cell>
          <cell r="K66" t="str">
            <v>-</v>
          </cell>
          <cell r="L66" t="str">
            <v>-</v>
          </cell>
          <cell r="M66">
            <v>2.2999999999999998</v>
          </cell>
          <cell r="N66">
            <v>3.67</v>
          </cell>
          <cell r="O66" t="str">
            <v>□75xx2.3</v>
          </cell>
          <cell r="Q66">
            <v>50</v>
          </cell>
          <cell r="R66">
            <v>43.478260869565219</v>
          </cell>
        </row>
        <row r="67">
          <cell r="B67" t="str">
            <v>□ -75x75x3.2</v>
          </cell>
          <cell r="D67">
            <v>8.9269999999999996</v>
          </cell>
          <cell r="E67">
            <v>75.5</v>
          </cell>
          <cell r="F67">
            <v>75.5</v>
          </cell>
          <cell r="G67">
            <v>2.91</v>
          </cell>
          <cell r="H67">
            <v>2.91</v>
          </cell>
          <cell r="I67">
            <v>20.100000000000001</v>
          </cell>
          <cell r="J67">
            <v>20.100000000000001</v>
          </cell>
          <cell r="K67" t="str">
            <v>-</v>
          </cell>
          <cell r="L67" t="str">
            <v>-</v>
          </cell>
          <cell r="M67">
            <v>3.2</v>
          </cell>
          <cell r="N67">
            <v>5.17</v>
          </cell>
          <cell r="O67" t="str">
            <v>□75xx3.2</v>
          </cell>
          <cell r="Q67">
            <v>50</v>
          </cell>
          <cell r="R67">
            <v>31.25</v>
          </cell>
        </row>
        <row r="68">
          <cell r="B68" t="str">
            <v>□ -75x75x4.5</v>
          </cell>
          <cell r="D68">
            <v>12.17</v>
          </cell>
          <cell r="E68">
            <v>98.6</v>
          </cell>
          <cell r="F68">
            <v>98.6</v>
          </cell>
          <cell r="G68">
            <v>2.85</v>
          </cell>
          <cell r="H68">
            <v>2.85</v>
          </cell>
          <cell r="I68">
            <v>26.3</v>
          </cell>
          <cell r="J68">
            <v>26.3</v>
          </cell>
          <cell r="K68" t="str">
            <v>-</v>
          </cell>
          <cell r="L68" t="str">
            <v>-</v>
          </cell>
          <cell r="M68">
            <v>4.5</v>
          </cell>
          <cell r="N68">
            <v>7.01</v>
          </cell>
          <cell r="O68" t="str">
            <v>□75xx4.5</v>
          </cell>
          <cell r="Q68">
            <v>55</v>
          </cell>
          <cell r="R68">
            <v>22.222222222222221</v>
          </cell>
        </row>
        <row r="69">
          <cell r="B69" t="str">
            <v>□ -125x125x2.3</v>
          </cell>
          <cell r="D69">
            <v>8</v>
          </cell>
          <cell r="E69">
            <v>376</v>
          </cell>
          <cell r="F69">
            <v>376</v>
          </cell>
          <cell r="G69">
            <v>4.95</v>
          </cell>
          <cell r="H69">
            <v>4.95</v>
          </cell>
          <cell r="I69">
            <v>60.1</v>
          </cell>
          <cell r="J69">
            <v>60.1</v>
          </cell>
          <cell r="K69" t="str">
            <v>-</v>
          </cell>
          <cell r="L69" t="str">
            <v>-</v>
          </cell>
          <cell r="M69">
            <v>3.2</v>
          </cell>
          <cell r="N69">
            <v>12</v>
          </cell>
          <cell r="O69" t="str">
            <v>□125x2.3</v>
          </cell>
          <cell r="P69">
            <v>0.5</v>
          </cell>
          <cell r="Q69">
            <v>58</v>
          </cell>
          <cell r="R69">
            <v>39.0625</v>
          </cell>
        </row>
        <row r="71">
          <cell r="B71" t="str">
            <v>***********</v>
          </cell>
          <cell r="E71">
            <v>75600</v>
          </cell>
          <cell r="I71">
            <v>2520</v>
          </cell>
          <cell r="K71">
            <v>5.09</v>
          </cell>
          <cell r="L71">
            <v>8.98</v>
          </cell>
          <cell r="M71">
            <v>11</v>
          </cell>
          <cell r="N71">
            <v>103</v>
          </cell>
        </row>
        <row r="72">
          <cell r="B72" t="str">
            <v>C-60x30x10x1.6</v>
          </cell>
          <cell r="E72">
            <v>11.6</v>
          </cell>
          <cell r="I72">
            <v>3.88</v>
          </cell>
          <cell r="K72">
            <v>2.9946370564445366</v>
          </cell>
          <cell r="N72">
            <v>1.63</v>
          </cell>
          <cell r="O72" t="str">
            <v>C60t1.6</v>
          </cell>
          <cell r="P72">
            <v>0.27999999999999997</v>
          </cell>
        </row>
        <row r="73">
          <cell r="B73" t="str">
            <v>C-60x30x10x2.3</v>
          </cell>
          <cell r="D73">
            <v>7.0069999999999997</v>
          </cell>
          <cell r="E73">
            <v>15.6</v>
          </cell>
          <cell r="I73">
            <v>5.2</v>
          </cell>
          <cell r="K73">
            <v>1.49</v>
          </cell>
          <cell r="N73">
            <v>2.25</v>
          </cell>
          <cell r="O73" t="str">
            <v>C60t2.3</v>
          </cell>
          <cell r="P73">
            <v>0.27999999999999997</v>
          </cell>
          <cell r="Q73">
            <v>54</v>
          </cell>
        </row>
        <row r="74">
          <cell r="B74" t="str">
            <v>C-75x45x15x1.6</v>
          </cell>
          <cell r="E74">
            <v>27.1</v>
          </cell>
          <cell r="I74">
            <v>7.29</v>
          </cell>
          <cell r="N74">
            <v>2.3199999999999998</v>
          </cell>
          <cell r="O74" t="str">
            <v>C75t1.6</v>
          </cell>
          <cell r="P74">
            <v>0.38999999999999996</v>
          </cell>
          <cell r="Q74">
            <v>58</v>
          </cell>
        </row>
        <row r="75">
          <cell r="B75" t="str">
            <v>C-75x45x15x2.3</v>
          </cell>
          <cell r="D75">
            <v>4.1369999999999996</v>
          </cell>
          <cell r="E75">
            <v>37.1</v>
          </cell>
          <cell r="F75">
            <v>11.8</v>
          </cell>
          <cell r="G75">
            <v>3</v>
          </cell>
          <cell r="H75">
            <v>1.69</v>
          </cell>
          <cell r="I75">
            <v>9.9</v>
          </cell>
          <cell r="J75">
            <v>4.24</v>
          </cell>
          <cell r="M75">
            <v>2.2999999999999998</v>
          </cell>
          <cell r="N75">
            <v>3.25</v>
          </cell>
          <cell r="O75" t="str">
            <v>C75t2.3</v>
          </cell>
          <cell r="P75">
            <v>0.38999999999999996</v>
          </cell>
          <cell r="Q75">
            <v>53</v>
          </cell>
        </row>
        <row r="76">
          <cell r="B76" t="str">
            <v>C-100x50x20x1.6</v>
          </cell>
          <cell r="E76">
            <v>58.4</v>
          </cell>
          <cell r="I76">
            <v>11.7</v>
          </cell>
          <cell r="N76">
            <v>2.88</v>
          </cell>
          <cell r="O76" t="str">
            <v>C100t1.6</v>
          </cell>
          <cell r="P76">
            <v>0.48000000000000004</v>
          </cell>
        </row>
        <row r="77">
          <cell r="B77" t="str">
            <v>C-100x50x20x2.3</v>
          </cell>
          <cell r="D77">
            <v>5.1719999999999997</v>
          </cell>
          <cell r="E77">
            <v>80.7</v>
          </cell>
          <cell r="F77">
            <v>19</v>
          </cell>
          <cell r="G77">
            <v>3.95</v>
          </cell>
          <cell r="H77">
            <v>1.92</v>
          </cell>
          <cell r="I77">
            <v>16.100000000000001</v>
          </cell>
          <cell r="J77">
            <v>6.06</v>
          </cell>
          <cell r="M77">
            <v>2.2999999999999998</v>
          </cell>
          <cell r="N77">
            <v>4.0599999999999996</v>
          </cell>
          <cell r="O77" t="str">
            <v>C100t2.3</v>
          </cell>
          <cell r="P77">
            <v>0.48000000000000004</v>
          </cell>
          <cell r="Q77">
            <v>53</v>
          </cell>
        </row>
        <row r="78">
          <cell r="B78" t="str">
            <v>C-100x50x20x3.2</v>
          </cell>
          <cell r="D78">
            <v>7.0069999999999997</v>
          </cell>
          <cell r="E78">
            <v>107</v>
          </cell>
          <cell r="F78">
            <v>24.5</v>
          </cell>
          <cell r="G78">
            <v>3.9</v>
          </cell>
          <cell r="H78">
            <v>1.87</v>
          </cell>
          <cell r="I78">
            <v>21.3</v>
          </cell>
          <cell r="J78">
            <v>7.81</v>
          </cell>
          <cell r="M78">
            <v>3.2</v>
          </cell>
          <cell r="N78">
            <v>5.5</v>
          </cell>
          <cell r="O78" t="str">
            <v>C100t3.2</v>
          </cell>
          <cell r="P78">
            <v>0.48000000000000004</v>
          </cell>
          <cell r="Q78">
            <v>54</v>
          </cell>
        </row>
        <row r="79">
          <cell r="B79" t="str">
            <v>C-120x60x20x2.3</v>
          </cell>
          <cell r="D79">
            <v>6.0919999999999996</v>
          </cell>
          <cell r="E79">
            <v>140</v>
          </cell>
          <cell r="F79">
            <v>31.3</v>
          </cell>
          <cell r="G79">
            <v>4.79</v>
          </cell>
          <cell r="H79">
            <v>2.27</v>
          </cell>
          <cell r="I79">
            <v>23.3</v>
          </cell>
          <cell r="J79">
            <v>8.1</v>
          </cell>
          <cell r="M79">
            <v>2.2999999999999998</v>
          </cell>
          <cell r="N79">
            <v>4.78</v>
          </cell>
          <cell r="O79" t="str">
            <v>C120t2.3</v>
          </cell>
          <cell r="P79">
            <v>0.55999999999999994</v>
          </cell>
          <cell r="Q79">
            <v>62</v>
          </cell>
        </row>
        <row r="80">
          <cell r="B80" t="str">
            <v>C-120x60x20x3.2</v>
          </cell>
          <cell r="D80">
            <v>8.2870000000000008</v>
          </cell>
          <cell r="E80">
            <v>186</v>
          </cell>
          <cell r="F80">
            <v>40.9</v>
          </cell>
          <cell r="G80">
            <v>4.74</v>
          </cell>
          <cell r="H80">
            <v>2.2200000000000002</v>
          </cell>
          <cell r="I80">
            <v>31</v>
          </cell>
          <cell r="J80">
            <v>10.5</v>
          </cell>
          <cell r="M80">
            <v>3.2</v>
          </cell>
          <cell r="N80">
            <v>6.51</v>
          </cell>
          <cell r="O80" t="str">
            <v>C120t3.2</v>
          </cell>
          <cell r="P80">
            <v>0.55999999999999994</v>
          </cell>
          <cell r="Q80">
            <v>62</v>
          </cell>
        </row>
        <row r="81">
          <cell r="B81" t="str">
            <v>C-125x50x20x2.3</v>
          </cell>
          <cell r="D81">
            <v>5.7469999999999999</v>
          </cell>
          <cell r="E81">
            <v>137</v>
          </cell>
          <cell r="F81">
            <v>26.6</v>
          </cell>
          <cell r="G81">
            <v>4.88</v>
          </cell>
          <cell r="H81">
            <v>1.89</v>
          </cell>
          <cell r="I81">
            <v>21.9</v>
          </cell>
          <cell r="J81">
            <v>6.22</v>
          </cell>
          <cell r="M81">
            <v>2.2999999999999998</v>
          </cell>
          <cell r="N81">
            <v>4.51</v>
          </cell>
          <cell r="O81" t="str">
            <v>C125t2.3</v>
          </cell>
          <cell r="P81">
            <v>0.53</v>
          </cell>
          <cell r="Q81">
            <v>62</v>
          </cell>
        </row>
        <row r="82">
          <cell r="B82" t="str">
            <v>C-125x50x20x3.2</v>
          </cell>
          <cell r="D82">
            <v>7.8070000000000004</v>
          </cell>
          <cell r="E82">
            <v>181</v>
          </cell>
          <cell r="F82">
            <v>26.6</v>
          </cell>
          <cell r="G82">
            <v>4.82</v>
          </cell>
          <cell r="H82">
            <v>1.85</v>
          </cell>
          <cell r="I82">
            <v>29</v>
          </cell>
          <cell r="J82">
            <v>8.02</v>
          </cell>
          <cell r="M82">
            <v>3.2</v>
          </cell>
          <cell r="N82">
            <v>6.13</v>
          </cell>
          <cell r="O82" t="str">
            <v>C125t3.2</v>
          </cell>
          <cell r="P82">
            <v>0.53</v>
          </cell>
          <cell r="Q82">
            <v>62</v>
          </cell>
        </row>
        <row r="83">
          <cell r="B83" t="str">
            <v>2C-75x45x15x2.3</v>
          </cell>
          <cell r="E83">
            <v>74.2</v>
          </cell>
          <cell r="I83">
            <v>19.8</v>
          </cell>
          <cell r="N83">
            <v>6.5</v>
          </cell>
          <cell r="O83" t="str">
            <v>2C75t2.3</v>
          </cell>
        </row>
        <row r="84">
          <cell r="B84" t="str">
            <v>2C-100x50x20x2.3</v>
          </cell>
          <cell r="E84">
            <v>161.4</v>
          </cell>
          <cell r="I84">
            <v>32.200000000000003</v>
          </cell>
          <cell r="N84">
            <v>8.1199999999999992</v>
          </cell>
          <cell r="O84" t="str">
            <v>2C100t2.3</v>
          </cell>
        </row>
        <row r="85">
          <cell r="B85" t="str">
            <v>2C-100x50x20x3.2</v>
          </cell>
          <cell r="E85">
            <v>214</v>
          </cell>
          <cell r="I85">
            <v>42.6</v>
          </cell>
          <cell r="N85">
            <v>11</v>
          </cell>
          <cell r="O85" t="str">
            <v>2C100t3.2</v>
          </cell>
        </row>
        <row r="87">
          <cell r="B87" t="str">
            <v>[-100x50x5x7.5</v>
          </cell>
          <cell r="D87">
            <v>11.92</v>
          </cell>
          <cell r="E87">
            <v>189</v>
          </cell>
          <cell r="F87">
            <v>26.9</v>
          </cell>
          <cell r="G87">
            <v>3.98</v>
          </cell>
          <cell r="H87">
            <v>1.5</v>
          </cell>
          <cell r="I87">
            <v>37.799999999999997</v>
          </cell>
          <cell r="J87">
            <v>7.82</v>
          </cell>
          <cell r="L87">
            <v>3.7174721189591078</v>
          </cell>
          <cell r="M87">
            <v>5</v>
          </cell>
          <cell r="N87">
            <v>9.36</v>
          </cell>
          <cell r="O87" t="str">
            <v>[100t7.5</v>
          </cell>
          <cell r="P87">
            <v>0.4</v>
          </cell>
          <cell r="Q87">
            <v>48</v>
          </cell>
        </row>
        <row r="88">
          <cell r="B88" t="str">
            <v>[-125x65x6x8.0</v>
          </cell>
          <cell r="D88">
            <v>17.11</v>
          </cell>
          <cell r="E88">
            <v>424</v>
          </cell>
          <cell r="F88">
            <v>61.8</v>
          </cell>
          <cell r="G88">
            <v>4.9800000000000004</v>
          </cell>
          <cell r="H88">
            <v>1.9</v>
          </cell>
          <cell r="I88">
            <v>67.8</v>
          </cell>
          <cell r="J88">
            <v>13.4</v>
          </cell>
          <cell r="L88">
            <v>4.2986425339366514</v>
          </cell>
          <cell r="M88">
            <v>6</v>
          </cell>
          <cell r="N88">
            <v>13.4</v>
          </cell>
          <cell r="O88" t="str">
            <v>[125t8.0</v>
          </cell>
          <cell r="P88">
            <v>0.51</v>
          </cell>
          <cell r="Q88">
            <v>48</v>
          </cell>
        </row>
        <row r="89">
          <cell r="B89" t="str">
            <v>[-150x75x6.5x10</v>
          </cell>
          <cell r="D89">
            <v>23.71</v>
          </cell>
          <cell r="E89">
            <v>861</v>
          </cell>
          <cell r="F89">
            <v>117</v>
          </cell>
          <cell r="G89">
            <v>6.03</v>
          </cell>
          <cell r="H89">
            <v>2.2200000000000002</v>
          </cell>
          <cell r="I89">
            <v>115</v>
          </cell>
          <cell r="J89">
            <v>22.4</v>
          </cell>
          <cell r="L89">
            <v>4.2912371134020617</v>
          </cell>
          <cell r="M89">
            <v>6.5</v>
          </cell>
          <cell r="N89">
            <v>18.600000000000001</v>
          </cell>
          <cell r="O89" t="str">
            <v>[150t10</v>
          </cell>
          <cell r="P89">
            <v>0.6</v>
          </cell>
          <cell r="Q89">
            <v>48</v>
          </cell>
        </row>
        <row r="90">
          <cell r="B90" t="str">
            <v>[-200x50x6</v>
          </cell>
          <cell r="D90">
            <v>16.82</v>
          </cell>
          <cell r="E90">
            <v>852</v>
          </cell>
          <cell r="F90">
            <v>31.4</v>
          </cell>
          <cell r="G90">
            <v>7.12</v>
          </cell>
          <cell r="H90">
            <v>1.37</v>
          </cell>
          <cell r="I90">
            <v>85.2</v>
          </cell>
          <cell r="J90">
            <v>8.0299999999999994</v>
          </cell>
          <cell r="L90">
            <v>9.1333333333333346</v>
          </cell>
          <cell r="M90">
            <v>6</v>
          </cell>
          <cell r="N90">
            <v>13.2</v>
          </cell>
          <cell r="O90" t="str">
            <v>[20b50t6</v>
          </cell>
          <cell r="P90">
            <v>0.60000000000000009</v>
          </cell>
          <cell r="Q90">
            <v>94</v>
          </cell>
        </row>
        <row r="91">
          <cell r="B91" t="str">
            <v>[-200x75x6</v>
          </cell>
          <cell r="D91">
            <v>19.82</v>
          </cell>
          <cell r="E91">
            <v>1130</v>
          </cell>
          <cell r="F91">
            <v>101</v>
          </cell>
          <cell r="G91">
            <v>7.56</v>
          </cell>
          <cell r="H91">
            <v>2.25</v>
          </cell>
          <cell r="I91">
            <v>113</v>
          </cell>
          <cell r="J91">
            <v>17.899999999999999</v>
          </cell>
          <cell r="L91">
            <v>10</v>
          </cell>
          <cell r="M91">
            <v>6</v>
          </cell>
          <cell r="N91">
            <v>15.6</v>
          </cell>
          <cell r="O91" t="str">
            <v>[20b75t6</v>
          </cell>
          <cell r="P91">
            <v>0.7</v>
          </cell>
          <cell r="Q91">
            <v>94</v>
          </cell>
        </row>
        <row r="92">
          <cell r="B92" t="str">
            <v>[-250x50x6</v>
          </cell>
          <cell r="D92">
            <v>19.82</v>
          </cell>
          <cell r="E92">
            <v>1496</v>
          </cell>
          <cell r="F92">
            <v>33.1</v>
          </cell>
          <cell r="G92">
            <v>8.69</v>
          </cell>
          <cell r="H92">
            <v>1.29</v>
          </cell>
          <cell r="I92">
            <v>120</v>
          </cell>
          <cell r="J92">
            <v>8.1999999999999993</v>
          </cell>
          <cell r="L92">
            <v>10.75</v>
          </cell>
          <cell r="M92">
            <v>6</v>
          </cell>
          <cell r="N92">
            <v>15.6</v>
          </cell>
          <cell r="O92" t="str">
            <v>[25b50t6</v>
          </cell>
          <cell r="P92">
            <v>0.7</v>
          </cell>
          <cell r="Q92">
            <v>94</v>
          </cell>
        </row>
        <row r="94">
          <cell r="B94" t="str">
            <v>[-100x50x2.3</v>
          </cell>
          <cell r="D94">
            <v>4.4260000000000002</v>
          </cell>
          <cell r="E94">
            <v>69.900000000000006</v>
          </cell>
          <cell r="F94">
            <v>11.1</v>
          </cell>
          <cell r="G94">
            <v>3.97</v>
          </cell>
          <cell r="H94">
            <v>1.98</v>
          </cell>
          <cell r="I94">
            <v>14</v>
          </cell>
          <cell r="J94">
            <v>3.04</v>
          </cell>
          <cell r="L94">
            <v>17.217391304347824</v>
          </cell>
          <cell r="M94">
            <v>2.2999999999999998</v>
          </cell>
          <cell r="N94">
            <v>3.47</v>
          </cell>
          <cell r="O94" t="str">
            <v>[100t2.3</v>
          </cell>
          <cell r="P94">
            <v>0.4</v>
          </cell>
          <cell r="Q94">
            <v>77</v>
          </cell>
        </row>
        <row r="95">
          <cell r="B95" t="str">
            <v>[-100x50x3.2</v>
          </cell>
          <cell r="D95">
            <v>6.0629999999999997</v>
          </cell>
          <cell r="E95">
            <v>93.6</v>
          </cell>
          <cell r="F95">
            <v>14.9</v>
          </cell>
          <cell r="G95">
            <v>3.93</v>
          </cell>
          <cell r="H95">
            <v>1.57</v>
          </cell>
          <cell r="I95">
            <v>18.7</v>
          </cell>
          <cell r="J95">
            <v>4.1500000000000004</v>
          </cell>
          <cell r="L95">
            <v>9.8125</v>
          </cell>
          <cell r="M95">
            <v>3.2</v>
          </cell>
          <cell r="N95">
            <v>4.76</v>
          </cell>
          <cell r="O95" t="str">
            <v>[100t3.2</v>
          </cell>
          <cell r="P95">
            <v>0.4</v>
          </cell>
          <cell r="Q95">
            <v>77</v>
          </cell>
        </row>
        <row r="96">
          <cell r="B96" t="str">
            <v>[-150x50x2.3</v>
          </cell>
          <cell r="D96">
            <v>5.5759999999999996</v>
          </cell>
          <cell r="E96">
            <v>181</v>
          </cell>
          <cell r="F96">
            <v>12.5</v>
          </cell>
          <cell r="G96">
            <v>5.69</v>
          </cell>
          <cell r="H96">
            <v>1.5</v>
          </cell>
          <cell r="I96">
            <v>24.1</v>
          </cell>
          <cell r="J96">
            <v>3.2</v>
          </cell>
          <cell r="L96">
            <v>19.565217391304344</v>
          </cell>
          <cell r="M96">
            <v>2.2999999999999998</v>
          </cell>
          <cell r="N96">
            <v>4.38</v>
          </cell>
          <cell r="O96" t="str">
            <v>[150t2.3</v>
          </cell>
          <cell r="P96">
            <v>0.5</v>
          </cell>
          <cell r="Q96">
            <v>78</v>
          </cell>
        </row>
        <row r="97">
          <cell r="B97" t="str">
            <v>[-150x50x3.2</v>
          </cell>
          <cell r="D97">
            <v>7.6630000000000003</v>
          </cell>
          <cell r="E97">
            <v>244</v>
          </cell>
          <cell r="F97">
            <v>16.899999999999999</v>
          </cell>
          <cell r="G97">
            <v>5.64</v>
          </cell>
          <cell r="H97">
            <v>1.48</v>
          </cell>
          <cell r="I97">
            <v>32.5</v>
          </cell>
          <cell r="J97">
            <v>4.37</v>
          </cell>
          <cell r="L97">
            <v>13.874999999999998</v>
          </cell>
          <cell r="M97">
            <v>3.2</v>
          </cell>
          <cell r="N97">
            <v>6.02</v>
          </cell>
          <cell r="O97" t="str">
            <v>[150t3.2</v>
          </cell>
          <cell r="P97">
            <v>0.5</v>
          </cell>
          <cell r="Q97">
            <v>77</v>
          </cell>
        </row>
        <row r="98">
          <cell r="B98" t="str">
            <v>[-150x75x3.2</v>
          </cell>
          <cell r="D98">
            <v>9.2629999999999999</v>
          </cell>
          <cell r="E98">
            <v>330</v>
          </cell>
          <cell r="F98">
            <v>52.3</v>
          </cell>
          <cell r="G98">
            <v>5.97</v>
          </cell>
          <cell r="H98">
            <v>2.38</v>
          </cell>
          <cell r="I98">
            <v>44</v>
          </cell>
          <cell r="J98">
            <v>9.5500000000000007</v>
          </cell>
          <cell r="L98">
            <v>14.874999999999998</v>
          </cell>
          <cell r="M98">
            <v>3.2</v>
          </cell>
          <cell r="N98">
            <v>7.27</v>
          </cell>
          <cell r="O98" t="str">
            <v>[W150t3.2</v>
          </cell>
          <cell r="P98">
            <v>0.6</v>
          </cell>
          <cell r="Q98">
            <v>77</v>
          </cell>
        </row>
        <row r="99">
          <cell r="B99" t="str">
            <v>[-150x75x4.5</v>
          </cell>
          <cell r="D99">
            <v>12.83</v>
          </cell>
          <cell r="E99">
            <v>448</v>
          </cell>
          <cell r="F99">
            <v>71.400000000000006</v>
          </cell>
          <cell r="G99">
            <v>5.91</v>
          </cell>
          <cell r="H99">
            <v>2.36</v>
          </cell>
          <cell r="I99">
            <v>59.8</v>
          </cell>
          <cell r="J99">
            <v>13.2</v>
          </cell>
          <cell r="L99">
            <v>10.488888888888889</v>
          </cell>
          <cell r="M99">
            <v>4.5</v>
          </cell>
          <cell r="N99">
            <v>12.83</v>
          </cell>
          <cell r="O99" t="str">
            <v>[W150t4.5</v>
          </cell>
          <cell r="P99">
            <v>0.6</v>
          </cell>
          <cell r="Q99">
            <v>77</v>
          </cell>
        </row>
        <row r="100">
          <cell r="B100" t="str">
            <v>[-250x75x4.5</v>
          </cell>
          <cell r="D100">
            <v>17.329999999999998</v>
          </cell>
          <cell r="E100">
            <v>1500</v>
          </cell>
          <cell r="F100">
            <v>82.9</v>
          </cell>
          <cell r="G100">
            <v>9.31</v>
          </cell>
          <cell r="H100">
            <v>2.19</v>
          </cell>
          <cell r="I100">
            <v>120</v>
          </cell>
          <cell r="J100">
            <v>14</v>
          </cell>
          <cell r="L100">
            <v>9.7333333333333343</v>
          </cell>
          <cell r="M100">
            <v>3.2</v>
          </cell>
          <cell r="N100">
            <v>7.27</v>
          </cell>
          <cell r="O100" t="str">
            <v>[W250t4.5</v>
          </cell>
          <cell r="P100">
            <v>0.6</v>
          </cell>
          <cell r="Q100">
            <v>77</v>
          </cell>
        </row>
        <row r="103">
          <cell r="B103" t="str">
            <v>M12</v>
          </cell>
          <cell r="D103">
            <v>0.88900000000000001</v>
          </cell>
          <cell r="N103">
            <v>0.7</v>
          </cell>
          <cell r="P103">
            <v>3.7999999999999999E-2</v>
          </cell>
          <cell r="Q103">
            <v>192</v>
          </cell>
        </row>
        <row r="104">
          <cell r="B104" t="str">
            <v>M16</v>
          </cell>
          <cell r="D104">
            <v>1.64</v>
          </cell>
          <cell r="N104">
            <v>1.29</v>
          </cell>
          <cell r="P104">
            <v>5.1000000000000004E-2</v>
          </cell>
          <cell r="Q104">
            <v>160</v>
          </cell>
        </row>
        <row r="105">
          <cell r="B105" t="str">
            <v>M20</v>
          </cell>
          <cell r="D105">
            <v>2.58</v>
          </cell>
          <cell r="N105">
            <v>2.0299999999999998</v>
          </cell>
          <cell r="P105">
            <v>6.3E-2</v>
          </cell>
          <cell r="Q105">
            <v>826</v>
          </cell>
        </row>
        <row r="106">
          <cell r="B106" t="str">
            <v>M22</v>
          </cell>
          <cell r="D106">
            <v>3.18</v>
          </cell>
          <cell r="N106">
            <v>2.5</v>
          </cell>
          <cell r="P106">
            <v>7.0000000000000007E-2</v>
          </cell>
          <cell r="Q106">
            <v>700</v>
          </cell>
        </row>
        <row r="107">
          <cell r="B107" t="str">
            <v>M24</v>
          </cell>
          <cell r="D107">
            <v>3.72</v>
          </cell>
          <cell r="N107">
            <v>2.92</v>
          </cell>
          <cell r="P107">
            <v>7.5999999999999998E-2</v>
          </cell>
          <cell r="Q107">
            <v>700</v>
          </cell>
        </row>
        <row r="108">
          <cell r="B108" t="str">
            <v>M27</v>
          </cell>
          <cell r="D108">
            <v>4.82</v>
          </cell>
          <cell r="N108">
            <v>3.78</v>
          </cell>
          <cell r="P108">
            <v>8.5000000000000006E-2</v>
          </cell>
          <cell r="Q108">
            <v>1433</v>
          </cell>
        </row>
        <row r="109">
          <cell r="B109" t="str">
            <v>M30</v>
          </cell>
          <cell r="D109">
            <v>5.91</v>
          </cell>
          <cell r="N109">
            <v>4.6399999999999997</v>
          </cell>
          <cell r="P109">
            <v>9.5000000000000001E-2</v>
          </cell>
          <cell r="Q109">
            <v>1433</v>
          </cell>
        </row>
        <row r="112">
          <cell r="B112" t="str">
            <v>H-606×201×12×20</v>
          </cell>
          <cell r="E112">
            <v>88300</v>
          </cell>
          <cell r="I112">
            <v>2910</v>
          </cell>
          <cell r="K112">
            <v>5.17</v>
          </cell>
          <cell r="L112">
            <v>7.8</v>
          </cell>
          <cell r="M112">
            <v>12</v>
          </cell>
        </row>
        <row r="113">
          <cell r="B113" t="str">
            <v>H-612×202×13×23</v>
          </cell>
          <cell r="E113">
            <v>101000</v>
          </cell>
          <cell r="I113">
            <v>3310</v>
          </cell>
          <cell r="K113">
            <v>5.25</v>
          </cell>
          <cell r="L113">
            <v>6.91</v>
          </cell>
          <cell r="M113">
            <v>13</v>
          </cell>
        </row>
        <row r="114">
          <cell r="B114" t="str">
            <v>[-200x75x6</v>
          </cell>
        </row>
        <row r="115">
          <cell r="B115" t="str">
            <v>[-200x75x6 +PL-6x75x850</v>
          </cell>
        </row>
        <row r="116">
          <cell r="B116" t="str">
            <v>[-200x75x6</v>
          </cell>
        </row>
        <row r="117">
          <cell r="B117" t="str">
            <v>C-100x50x3.2</v>
          </cell>
          <cell r="D117">
            <v>7.0069999999999997</v>
          </cell>
          <cell r="E117">
            <v>24.5</v>
          </cell>
          <cell r="K117">
            <v>1.87</v>
          </cell>
        </row>
        <row r="118">
          <cell r="B118" t="str">
            <v>2C-75x45x15x2.3</v>
          </cell>
          <cell r="E118">
            <v>74.2</v>
          </cell>
          <cell r="I118">
            <v>19.8</v>
          </cell>
          <cell r="K118">
            <v>2.9946370564445366</v>
          </cell>
        </row>
        <row r="119">
          <cell r="B119" t="str">
            <v>C-75x45x15x2.3</v>
          </cell>
          <cell r="E119">
            <v>37.1</v>
          </cell>
          <cell r="I119">
            <v>9.9</v>
          </cell>
          <cell r="K119">
            <v>2.9946370564445366</v>
          </cell>
        </row>
        <row r="120">
          <cell r="B120" t="str">
            <v>H-612×202×13×23</v>
          </cell>
          <cell r="E120">
            <v>101000</v>
          </cell>
          <cell r="I120">
            <v>3310</v>
          </cell>
          <cell r="K120">
            <v>5.25</v>
          </cell>
          <cell r="L120">
            <v>6.91</v>
          </cell>
          <cell r="M120">
            <v>13</v>
          </cell>
        </row>
        <row r="124">
          <cell r="B124" t="str">
            <v>φ06</v>
          </cell>
          <cell r="C124">
            <v>0.28299999999999997</v>
          </cell>
          <cell r="D124">
            <v>1.8849555921538759</v>
          </cell>
        </row>
        <row r="125">
          <cell r="B125" t="str">
            <v>D10</v>
          </cell>
          <cell r="C125">
            <v>0.71299999999999997</v>
          </cell>
          <cell r="D125">
            <v>3</v>
          </cell>
        </row>
        <row r="126">
          <cell r="B126" t="str">
            <v>D13</v>
          </cell>
          <cell r="C126">
            <v>1.27</v>
          </cell>
          <cell r="D126">
            <v>4</v>
          </cell>
        </row>
        <row r="127">
          <cell r="B127" t="str">
            <v>D16</v>
          </cell>
          <cell r="C127">
            <v>1.99</v>
          </cell>
          <cell r="D127">
            <v>5</v>
          </cell>
        </row>
        <row r="128">
          <cell r="B128" t="str">
            <v>D19</v>
          </cell>
          <cell r="C128">
            <v>2.85</v>
          </cell>
          <cell r="D128">
            <v>6</v>
          </cell>
        </row>
        <row r="129">
          <cell r="B129" t="str">
            <v>D22</v>
          </cell>
          <cell r="C129">
            <v>3.88</v>
          </cell>
          <cell r="D129">
            <v>7</v>
          </cell>
        </row>
      </sheetData>
      <sheetData sheetId="1"/>
      <sheetData sheetId="2" refreshError="1">
        <row r="25">
          <cell r="B25">
            <v>1</v>
          </cell>
          <cell r="C25" t="str">
            <v>メイントラス受け柱下</v>
          </cell>
          <cell r="D25" t="str">
            <v>なし</v>
          </cell>
          <cell r="E25">
            <v>2.0422500000000001</v>
          </cell>
          <cell r="F25">
            <v>15.876000000000001</v>
          </cell>
          <cell r="G25">
            <v>5.0670000000000002</v>
          </cell>
          <cell r="H25">
            <v>22.985250000000001</v>
          </cell>
          <cell r="I25">
            <v>19.440000000000001</v>
          </cell>
          <cell r="J25">
            <v>-34.020000000000003</v>
          </cell>
        </row>
        <row r="26">
          <cell r="B26">
            <v>2</v>
          </cell>
          <cell r="C26" t="str">
            <v>メイントラス受け柱下（ﾌﾞﾚｰｽ付）</v>
          </cell>
          <cell r="D26" t="str">
            <v>あり</v>
          </cell>
          <cell r="F26">
            <v>15.876000000000001</v>
          </cell>
          <cell r="G26">
            <v>5.0670000000000002</v>
          </cell>
          <cell r="H26">
            <v>20.943000000000001</v>
          </cell>
          <cell r="I26">
            <v>19.440000000000001</v>
          </cell>
          <cell r="J26">
            <v>-34.020000000000003</v>
          </cell>
          <cell r="K26">
            <v>55.199999999999996</v>
          </cell>
        </row>
        <row r="27">
          <cell r="B27">
            <v>3</v>
          </cell>
          <cell r="C27" t="str">
            <v>一般柱下</v>
          </cell>
          <cell r="D27" t="str">
            <v>なし</v>
          </cell>
          <cell r="E27">
            <v>2.0422500000000001</v>
          </cell>
          <cell r="F27">
            <v>0.79380000000000006</v>
          </cell>
          <cell r="G27">
            <v>5.0670000000000002</v>
          </cell>
          <cell r="H27">
            <v>7.9030500000000004</v>
          </cell>
          <cell r="I27">
            <v>0.97200000000000009</v>
          </cell>
          <cell r="J27">
            <v>-1.7010000000000001</v>
          </cell>
        </row>
        <row r="28">
          <cell r="B28">
            <v>4</v>
          </cell>
          <cell r="C28" t="str">
            <v>一般柱下（ﾌﾞﾚｰｽ付）</v>
          </cell>
          <cell r="D28" t="str">
            <v>あり</v>
          </cell>
          <cell r="F28">
            <v>0.79380000000000006</v>
          </cell>
          <cell r="G28">
            <v>5.0670000000000002</v>
          </cell>
          <cell r="H28">
            <v>5.8608000000000002</v>
          </cell>
          <cell r="I28">
            <v>0.97200000000000009</v>
          </cell>
          <cell r="J28">
            <v>-1.7010000000000001</v>
          </cell>
          <cell r="K28">
            <v>55.199999999999996</v>
          </cell>
        </row>
        <row r="29">
          <cell r="B29">
            <v>5</v>
          </cell>
          <cell r="C29" t="str">
            <v>妻母屋トラス下柱</v>
          </cell>
          <cell r="D29" t="str">
            <v>なし</v>
          </cell>
          <cell r="F29">
            <v>3.1752000000000002</v>
          </cell>
          <cell r="G29">
            <v>5.0670000000000002</v>
          </cell>
          <cell r="H29">
            <v>8.2422000000000004</v>
          </cell>
          <cell r="I29">
            <v>3.8880000000000003</v>
          </cell>
          <cell r="J29">
            <v>-6.8040000000000003</v>
          </cell>
        </row>
        <row r="30">
          <cell r="B30">
            <v>6</v>
          </cell>
          <cell r="C30" t="str">
            <v>　　　〃</v>
          </cell>
          <cell r="D30" t="str">
            <v>あり</v>
          </cell>
          <cell r="F30">
            <v>3.1752000000000002</v>
          </cell>
          <cell r="G30">
            <v>5.0670000000000002</v>
          </cell>
          <cell r="H30">
            <v>8.2422000000000004</v>
          </cell>
          <cell r="I30">
            <v>3.8880000000000003</v>
          </cell>
          <cell r="J30">
            <v>-6.8040000000000003</v>
          </cell>
          <cell r="K30">
            <v>55.199999999999996</v>
          </cell>
        </row>
        <row r="31">
          <cell r="B31">
            <v>7</v>
          </cell>
        </row>
        <row r="32">
          <cell r="B32">
            <v>8</v>
          </cell>
          <cell r="C32" t="str">
            <v>中柱</v>
          </cell>
          <cell r="D32" t="str">
            <v>なし</v>
          </cell>
          <cell r="F32">
            <v>0</v>
          </cell>
          <cell r="G32">
            <v>0</v>
          </cell>
          <cell r="H32">
            <v>0</v>
          </cell>
          <cell r="I32">
            <v>0</v>
          </cell>
          <cell r="J32">
            <v>0</v>
          </cell>
        </row>
        <row r="33">
          <cell r="B33">
            <v>9</v>
          </cell>
          <cell r="C33" t="str">
            <v>施工時</v>
          </cell>
          <cell r="D33" t="str">
            <v>なし</v>
          </cell>
          <cell r="F33">
            <v>11.016</v>
          </cell>
          <cell r="G33">
            <v>20.268000000000001</v>
          </cell>
          <cell r="H33">
            <v>31.283999999999999</v>
          </cell>
          <cell r="I33">
            <v>0</v>
          </cell>
          <cell r="J33">
            <v>-34.020000000000003</v>
          </cell>
        </row>
        <row r="37">
          <cell r="B37">
            <v>100</v>
          </cell>
          <cell r="C37" t="str">
            <v>吹き上げ検討</v>
          </cell>
          <cell r="D37" t="str">
            <v>なし</v>
          </cell>
          <cell r="F37">
            <v>15.876000000000001</v>
          </cell>
          <cell r="G37">
            <v>20.268000000000001</v>
          </cell>
          <cell r="H37">
            <v>36.144000000000005</v>
          </cell>
          <cell r="I37">
            <v>19.440000000000001</v>
          </cell>
          <cell r="J37">
            <v>-34.020000000000003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roux"/>
      <sheetName val="画面レイアウト"/>
      <sheetName val="得意先"/>
      <sheetName val="仕入先"/>
      <sheetName val="住所"/>
      <sheetName val="ｾｰﾙｽ"/>
      <sheetName val="商品"/>
      <sheetName val="お届先"/>
      <sheetName val="ﾒｰｶｰ"/>
      <sheetName val="倉庫"/>
      <sheetName val="部門別ｾｰﾙｽ目標"/>
      <sheetName val="ﾋﾞｼﾞﾈｽ別ｾｰﾙｽ目標"/>
      <sheetName val="製品分類"/>
      <sheetName val="扱い単位"/>
      <sheetName val="品番別売価識別ﾗﾝｸ"/>
      <sheetName val="分類別売価識別ﾗﾝｸ"/>
      <sheetName val="売上価格"/>
      <sheetName val="新旧振替品番"/>
      <sheetName val="得意先別掛率"/>
      <sheetName val="品番別ﾃﾞｨｰﾗｰ特値"/>
      <sheetName val="分類別ﾃﾞｨｰﾗｰ特値"/>
      <sheetName val="分類別仕入価格補正"/>
      <sheetName val="出荷取込"/>
      <sheetName val="仕入元取込"/>
      <sheetName val="入荷取込"/>
      <sheetName val="入出荷履歴取込"/>
      <sheetName val="入出荷在庫取込"/>
      <sheetName val="他ﾒｰｶｰ在庫取込"/>
      <sheetName val="得意先DEL"/>
      <sheetName val="仕入先DEL"/>
      <sheetName val="商品DEL"/>
      <sheetName val="お届先DEL"/>
      <sheetName val="扱い単位DEL"/>
      <sheetName val="分類別売価識別ﾗﾝｸDEL"/>
      <sheetName val="売上価格DEL"/>
      <sheetName val="得意先別掛率DEL"/>
      <sheetName val="KROS営業所変換DEL"/>
      <sheetName val="KROS用得意先DEL"/>
      <sheetName val="取引先ﾏｽﾀ"/>
      <sheetName val="取引先追加ﾏｽﾀ"/>
      <sheetName val="回収情報ﾏｽﾀ"/>
      <sheetName val="回収情報追加ﾏｽﾀ"/>
      <sheetName val="支払情報ﾏｽﾀ"/>
      <sheetName val="D"/>
      <sheetName val="1"/>
      <sheetName val="2"/>
      <sheetName val="LIST"/>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部材"/>
      <sheetName val="表紙"/>
      <sheetName val="改版改訂履歴"/>
      <sheetName val="目次"/>
      <sheetName val="§0-総則"/>
      <sheetName val="§1-一般事項"/>
      <sheetName val="§2-構造概要図"/>
      <sheetName val="§3-折版"/>
      <sheetName val="§3-母屋"/>
      <sheetName val="§3-屋根梁"/>
      <sheetName val="§3-床スラブ"/>
      <sheetName val="§3-床梁"/>
    </sheetNames>
    <sheetDataSet>
      <sheetData sheetId="0" refreshError="1">
        <row r="9">
          <cell r="B9" t="str">
            <v>H-150×75×5×7</v>
          </cell>
          <cell r="E9">
            <v>666</v>
          </cell>
          <cell r="F9">
            <v>88.8</v>
          </cell>
          <cell r="G9">
            <v>1.96</v>
          </cell>
          <cell r="H9">
            <v>5.6</v>
          </cell>
          <cell r="I9">
            <v>5</v>
          </cell>
        </row>
        <row r="10">
          <cell r="B10" t="str">
            <v>H-175×90×5×8</v>
          </cell>
          <cell r="E10">
            <v>1210</v>
          </cell>
          <cell r="F10">
            <v>138</v>
          </cell>
          <cell r="G10">
            <v>2.39</v>
          </cell>
          <cell r="H10">
            <v>5.81</v>
          </cell>
          <cell r="I10">
            <v>5</v>
          </cell>
        </row>
        <row r="11">
          <cell r="B11" t="str">
            <v>H-198×99×4.5×7</v>
          </cell>
          <cell r="E11">
            <v>1540</v>
          </cell>
          <cell r="F11">
            <v>156</v>
          </cell>
          <cell r="G11">
            <v>2.6</v>
          </cell>
          <cell r="H11">
            <v>7.43</v>
          </cell>
          <cell r="I11">
            <v>4.5</v>
          </cell>
        </row>
        <row r="12">
          <cell r="B12" t="str">
            <v>H-200×100×5.5×8</v>
          </cell>
          <cell r="E12">
            <v>1810</v>
          </cell>
          <cell r="F12">
            <v>181</v>
          </cell>
          <cell r="G12">
            <v>2.63</v>
          </cell>
          <cell r="H12">
            <v>6.57</v>
          </cell>
          <cell r="I12">
            <v>5.5</v>
          </cell>
        </row>
        <row r="13">
          <cell r="B13" t="str">
            <v>H-248×124×5×8</v>
          </cell>
          <cell r="E13">
            <v>3450</v>
          </cell>
          <cell r="F13">
            <v>278</v>
          </cell>
          <cell r="G13">
            <v>3.27</v>
          </cell>
          <cell r="H13">
            <v>8.19</v>
          </cell>
          <cell r="I13">
            <v>5</v>
          </cell>
        </row>
        <row r="14">
          <cell r="B14" t="str">
            <v>H-250×125×6×9</v>
          </cell>
          <cell r="E14">
            <v>3960</v>
          </cell>
          <cell r="F14">
            <v>317</v>
          </cell>
          <cell r="G14">
            <v>3.3</v>
          </cell>
          <cell r="H14">
            <v>7.33</v>
          </cell>
          <cell r="I14">
            <v>6</v>
          </cell>
        </row>
        <row r="15">
          <cell r="B15" t="str">
            <v>H-298×149×5.5×8</v>
          </cell>
          <cell r="E15">
            <v>6320</v>
          </cell>
          <cell r="F15">
            <v>424</v>
          </cell>
          <cell r="G15">
            <v>3.85</v>
          </cell>
          <cell r="H15">
            <v>9.61</v>
          </cell>
          <cell r="I15">
            <v>5.5</v>
          </cell>
        </row>
        <row r="16">
          <cell r="B16" t="str">
            <v>H-300×150×6.5×9</v>
          </cell>
          <cell r="E16">
            <v>7210</v>
          </cell>
          <cell r="F16">
            <v>481</v>
          </cell>
          <cell r="G16">
            <v>3.87</v>
          </cell>
          <cell r="H16">
            <v>8.61</v>
          </cell>
          <cell r="I16">
            <v>6.5</v>
          </cell>
        </row>
        <row r="17">
          <cell r="B17" t="str">
            <v>H-346×174×6×9</v>
          </cell>
          <cell r="E17">
            <v>11000</v>
          </cell>
          <cell r="F17">
            <v>638</v>
          </cell>
          <cell r="G17">
            <v>4.53</v>
          </cell>
          <cell r="H17">
            <v>10</v>
          </cell>
          <cell r="I17">
            <v>6</v>
          </cell>
        </row>
        <row r="18">
          <cell r="B18" t="str">
            <v>H-350×175×7×11</v>
          </cell>
          <cell r="E18">
            <v>13500</v>
          </cell>
          <cell r="F18">
            <v>771</v>
          </cell>
          <cell r="G18">
            <v>4.5999999999999996</v>
          </cell>
          <cell r="H18">
            <v>8.35</v>
          </cell>
          <cell r="I18">
            <v>7</v>
          </cell>
        </row>
        <row r="19">
          <cell r="B19" t="str">
            <v>H-396×199×7×11</v>
          </cell>
          <cell r="E19">
            <v>19800</v>
          </cell>
          <cell r="F19">
            <v>999</v>
          </cell>
          <cell r="G19">
            <v>5.23</v>
          </cell>
          <cell r="H19">
            <v>9.4499999999999993</v>
          </cell>
          <cell r="I19">
            <v>7</v>
          </cell>
        </row>
        <row r="20">
          <cell r="B20" t="str">
            <v>H-400×200×8×13</v>
          </cell>
          <cell r="E20">
            <v>23500</v>
          </cell>
          <cell r="F20">
            <v>1170</v>
          </cell>
          <cell r="G20">
            <v>5.29</v>
          </cell>
          <cell r="H20">
            <v>8.1300000000000008</v>
          </cell>
          <cell r="I20">
            <v>8</v>
          </cell>
        </row>
        <row r="21">
          <cell r="B21" t="str">
            <v>H-446×199×8×12</v>
          </cell>
          <cell r="E21">
            <v>28100</v>
          </cell>
          <cell r="F21">
            <v>1260</v>
          </cell>
          <cell r="G21">
            <v>5.16</v>
          </cell>
          <cell r="H21">
            <v>9.64</v>
          </cell>
          <cell r="I21">
            <v>8</v>
          </cell>
        </row>
        <row r="22">
          <cell r="B22" t="str">
            <v>H-450×200×9×14</v>
          </cell>
          <cell r="E22">
            <v>32900</v>
          </cell>
          <cell r="F22">
            <v>1460</v>
          </cell>
          <cell r="G22">
            <v>5.23</v>
          </cell>
          <cell r="H22">
            <v>8.4</v>
          </cell>
          <cell r="I22">
            <v>9</v>
          </cell>
        </row>
        <row r="23">
          <cell r="B23" t="str">
            <v>H-496×199×9×14</v>
          </cell>
          <cell r="E23">
            <v>40800</v>
          </cell>
          <cell r="F23">
            <v>1650</v>
          </cell>
          <cell r="G23">
            <v>5.14</v>
          </cell>
          <cell r="H23">
            <v>9.16</v>
          </cell>
          <cell r="I23">
            <v>9</v>
          </cell>
        </row>
        <row r="24">
          <cell r="B24" t="str">
            <v>H-500×200×10×16</v>
          </cell>
          <cell r="E24">
            <v>46800</v>
          </cell>
          <cell r="F24">
            <v>1870</v>
          </cell>
          <cell r="G24">
            <v>5.2</v>
          </cell>
          <cell r="H24">
            <v>8.1300000000000008</v>
          </cell>
          <cell r="I24">
            <v>10</v>
          </cell>
        </row>
        <row r="25">
          <cell r="B25" t="str">
            <v>H-596×199×10×15</v>
          </cell>
          <cell r="E25">
            <v>66600</v>
          </cell>
          <cell r="F25">
            <v>2240</v>
          </cell>
          <cell r="G25">
            <v>5.03</v>
          </cell>
          <cell r="H25">
            <v>10</v>
          </cell>
          <cell r="I25">
            <v>10</v>
          </cell>
        </row>
        <row r="26">
          <cell r="B26" t="str">
            <v>H-600×200×11×17</v>
          </cell>
          <cell r="E26">
            <v>75600</v>
          </cell>
          <cell r="F26">
            <v>2520</v>
          </cell>
          <cell r="G26">
            <v>5.09</v>
          </cell>
          <cell r="H26">
            <v>8.98</v>
          </cell>
          <cell r="I26">
            <v>11</v>
          </cell>
        </row>
        <row r="27">
          <cell r="B27" t="str">
            <v>H-606×201×12×20</v>
          </cell>
          <cell r="E27">
            <v>88300</v>
          </cell>
          <cell r="F27">
            <v>2910</v>
          </cell>
          <cell r="G27">
            <v>5.17</v>
          </cell>
          <cell r="H27">
            <v>7.8</v>
          </cell>
          <cell r="I27">
            <v>12</v>
          </cell>
        </row>
        <row r="28">
          <cell r="B28" t="str">
            <v>H-612×202×13×23</v>
          </cell>
          <cell r="E28">
            <v>101000</v>
          </cell>
          <cell r="F28">
            <v>3310</v>
          </cell>
          <cell r="G28">
            <v>5.25</v>
          </cell>
          <cell r="H28">
            <v>6.91</v>
          </cell>
          <cell r="I28">
            <v>13</v>
          </cell>
        </row>
        <row r="29">
          <cell r="B29" t="str">
            <v>[-200x75x6</v>
          </cell>
        </row>
        <row r="30">
          <cell r="B30" t="str">
            <v>[-200x75x6 +PL-6x75x850</v>
          </cell>
        </row>
        <row r="31">
          <cell r="B31" t="str">
            <v>[-200x75x6</v>
          </cell>
        </row>
        <row r="32">
          <cell r="B32" t="str">
            <v>C-100x50x3.2</v>
          </cell>
          <cell r="D32">
            <v>7.0069999999999997</v>
          </cell>
          <cell r="E32">
            <v>24.5</v>
          </cell>
          <cell r="G32">
            <v>1.87</v>
          </cell>
        </row>
        <row r="33">
          <cell r="B33" t="str">
            <v>2C-75x45x15x2.3</v>
          </cell>
          <cell r="E33">
            <v>74.2</v>
          </cell>
          <cell r="F33">
            <v>19.8</v>
          </cell>
          <cell r="G33">
            <v>2.9946370564445366</v>
          </cell>
        </row>
        <row r="34">
          <cell r="B34" t="str">
            <v>C-75x45x15x2.3</v>
          </cell>
          <cell r="E34">
            <v>37.1</v>
          </cell>
          <cell r="F34">
            <v>9.9</v>
          </cell>
          <cell r="G34">
            <v>2.9946370564445366</v>
          </cell>
        </row>
        <row r="35">
          <cell r="B35" t="str">
            <v>H-612×202×13×23</v>
          </cell>
          <cell r="E35">
            <v>101000</v>
          </cell>
          <cell r="F35">
            <v>3310</v>
          </cell>
          <cell r="G35">
            <v>5.25</v>
          </cell>
          <cell r="H35">
            <v>6.91</v>
          </cell>
          <cell r="I35">
            <v>13</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94DC4-A66B-4839-9C18-101D87F62F2C}">
  <sheetPr codeName="Sheet6">
    <tabColor indexed="53"/>
  </sheetPr>
  <dimension ref="A1:L60"/>
  <sheetViews>
    <sheetView view="pageBreakPreview" topLeftCell="A28" zoomScaleNormal="100" workbookViewId="0">
      <selection activeCell="F25" sqref="F25"/>
    </sheetView>
  </sheetViews>
  <sheetFormatPr defaultRowHeight="11.25" x14ac:dyDescent="0.15"/>
  <cols>
    <col min="1" max="1" width="3.125" style="38" customWidth="1"/>
    <col min="2" max="2" width="4.625" style="38" customWidth="1"/>
    <col min="3" max="11" width="8.625" style="38" customWidth="1"/>
    <col min="12" max="12" width="9.625" style="38" customWidth="1"/>
    <col min="13" max="16384" width="9" style="39"/>
  </cols>
  <sheetData>
    <row r="1" spans="1:12" ht="9" customHeight="1" x14ac:dyDescent="0.15">
      <c r="A1" s="37"/>
      <c r="B1" s="37"/>
      <c r="C1" s="37"/>
    </row>
    <row r="2" spans="1:12" ht="15.95" customHeight="1" x14ac:dyDescent="0.15">
      <c r="A2" s="40"/>
      <c r="B2" s="62" t="s">
        <v>120</v>
      </c>
      <c r="C2" s="41"/>
      <c r="D2" s="40"/>
      <c r="E2" s="42"/>
      <c r="F2" s="42"/>
      <c r="G2" s="43"/>
      <c r="H2" s="43"/>
      <c r="I2" s="43"/>
      <c r="J2" s="43"/>
      <c r="K2" s="43"/>
    </row>
    <row r="3" spans="1:12" ht="15.95" customHeight="1" x14ac:dyDescent="0.15">
      <c r="A3" s="44"/>
      <c r="B3" s="44"/>
      <c r="C3" s="45"/>
      <c r="D3" s="44"/>
      <c r="E3" s="44"/>
      <c r="F3" s="44"/>
      <c r="G3" s="44"/>
      <c r="H3" s="44"/>
      <c r="I3" s="44"/>
      <c r="J3" s="44"/>
      <c r="K3" s="44"/>
      <c r="L3" s="63" t="s">
        <v>121</v>
      </c>
    </row>
    <row r="4" spans="1:12" ht="15.95" customHeight="1" x14ac:dyDescent="0.15">
      <c r="A4" s="44"/>
      <c r="B4" s="64" t="s">
        <v>122</v>
      </c>
      <c r="C4" s="45"/>
      <c r="D4" s="42"/>
      <c r="E4" s="49"/>
      <c r="F4" s="49"/>
      <c r="G4" s="49"/>
      <c r="H4" s="49"/>
      <c r="I4" s="49"/>
      <c r="J4" s="49"/>
      <c r="K4" s="49"/>
      <c r="L4" s="49"/>
    </row>
    <row r="5" spans="1:12" ht="15.95" customHeight="1" x14ac:dyDescent="0.15">
      <c r="A5" s="44"/>
      <c r="B5" s="164" t="s">
        <v>104</v>
      </c>
      <c r="C5" s="164" t="s">
        <v>123</v>
      </c>
      <c r="D5" s="174" t="s">
        <v>124</v>
      </c>
      <c r="E5" s="175"/>
      <c r="F5" s="175"/>
      <c r="G5" s="175"/>
      <c r="H5" s="174" t="s">
        <v>125</v>
      </c>
      <c r="I5" s="175"/>
      <c r="J5" s="178"/>
      <c r="K5" s="180" t="s">
        <v>105</v>
      </c>
    </row>
    <row r="6" spans="1:12" ht="15.95" customHeight="1" x14ac:dyDescent="0.15">
      <c r="A6" s="44"/>
      <c r="B6" s="165"/>
      <c r="C6" s="165"/>
      <c r="D6" s="176"/>
      <c r="E6" s="177"/>
      <c r="F6" s="177"/>
      <c r="G6" s="177"/>
      <c r="H6" s="176"/>
      <c r="I6" s="177"/>
      <c r="J6" s="179"/>
      <c r="K6" s="180"/>
      <c r="L6" s="39"/>
    </row>
    <row r="7" spans="1:12" ht="15.95" customHeight="1" x14ac:dyDescent="0.15">
      <c r="A7" s="44"/>
      <c r="B7" s="165"/>
      <c r="C7" s="165"/>
      <c r="D7" s="164" t="s">
        <v>126</v>
      </c>
      <c r="E7" s="181" t="s">
        <v>127</v>
      </c>
      <c r="F7" s="184" t="s">
        <v>128</v>
      </c>
      <c r="G7" s="185"/>
      <c r="H7" s="162" t="s">
        <v>126</v>
      </c>
      <c r="I7" s="162" t="s">
        <v>127</v>
      </c>
      <c r="J7" s="159" t="s">
        <v>128</v>
      </c>
      <c r="K7" s="180"/>
      <c r="L7" s="39"/>
    </row>
    <row r="8" spans="1:12" ht="15.95" customHeight="1" x14ac:dyDescent="0.15">
      <c r="A8" s="44"/>
      <c r="B8" s="165"/>
      <c r="C8" s="165"/>
      <c r="D8" s="165"/>
      <c r="E8" s="182"/>
      <c r="F8" s="181" t="s">
        <v>129</v>
      </c>
      <c r="G8" s="164" t="s">
        <v>130</v>
      </c>
      <c r="H8" s="167"/>
      <c r="I8" s="167"/>
      <c r="J8" s="160"/>
      <c r="K8" s="180"/>
      <c r="L8" s="39"/>
    </row>
    <row r="9" spans="1:12" ht="15.95" customHeight="1" x14ac:dyDescent="0.15">
      <c r="A9" s="44"/>
      <c r="B9" s="166"/>
      <c r="C9" s="166"/>
      <c r="D9" s="166"/>
      <c r="E9" s="183"/>
      <c r="F9" s="183"/>
      <c r="G9" s="166"/>
      <c r="H9" s="163"/>
      <c r="I9" s="163"/>
      <c r="J9" s="161"/>
      <c r="K9" s="180"/>
      <c r="L9" s="39"/>
    </row>
    <row r="10" spans="1:12" ht="15.95" customHeight="1" x14ac:dyDescent="0.15">
      <c r="A10" s="44"/>
      <c r="B10" s="46" t="s">
        <v>106</v>
      </c>
      <c r="C10" s="46" t="s">
        <v>131</v>
      </c>
      <c r="D10" s="65">
        <v>6</v>
      </c>
      <c r="E10" s="66">
        <v>0.6</v>
      </c>
      <c r="F10" s="66">
        <v>0.72</v>
      </c>
      <c r="G10" s="66">
        <v>0.9</v>
      </c>
      <c r="H10" s="164" t="s">
        <v>132</v>
      </c>
      <c r="I10" s="164" t="s">
        <v>133</v>
      </c>
      <c r="J10" s="164" t="s">
        <v>133</v>
      </c>
      <c r="K10" s="67"/>
      <c r="L10" s="39"/>
    </row>
    <row r="11" spans="1:12" ht="15.95" customHeight="1" x14ac:dyDescent="0.15">
      <c r="A11" s="44"/>
      <c r="B11" s="46" t="s">
        <v>106</v>
      </c>
      <c r="C11" s="46" t="s">
        <v>134</v>
      </c>
      <c r="D11" s="65">
        <v>7</v>
      </c>
      <c r="E11" s="66">
        <v>0.7</v>
      </c>
      <c r="F11" s="66">
        <v>0.76</v>
      </c>
      <c r="G11" s="66">
        <v>0.95</v>
      </c>
      <c r="H11" s="165"/>
      <c r="I11" s="165"/>
      <c r="J11" s="165"/>
      <c r="K11" s="67"/>
      <c r="L11" s="39"/>
    </row>
    <row r="12" spans="1:12" ht="15.95" customHeight="1" x14ac:dyDescent="0.15">
      <c r="A12" s="44"/>
      <c r="B12" s="46"/>
      <c r="C12" s="46" t="s">
        <v>135</v>
      </c>
      <c r="D12" s="65">
        <v>8</v>
      </c>
      <c r="E12" s="66">
        <v>0.74</v>
      </c>
      <c r="F12" s="66">
        <v>0.8</v>
      </c>
      <c r="G12" s="66">
        <v>1</v>
      </c>
      <c r="H12" s="165"/>
      <c r="I12" s="165"/>
      <c r="J12" s="165"/>
      <c r="K12" s="67"/>
      <c r="L12" s="39"/>
    </row>
    <row r="13" spans="1:12" ht="15.95" customHeight="1" x14ac:dyDescent="0.15">
      <c r="A13" s="44"/>
      <c r="B13" s="46" t="s">
        <v>107</v>
      </c>
      <c r="C13" s="46" t="s">
        <v>136</v>
      </c>
      <c r="D13" s="65">
        <v>9</v>
      </c>
      <c r="E13" s="66">
        <v>0.77</v>
      </c>
      <c r="F13" s="66">
        <v>0.84</v>
      </c>
      <c r="G13" s="66">
        <v>1.05</v>
      </c>
      <c r="H13" s="165"/>
      <c r="I13" s="165"/>
      <c r="J13" s="165"/>
      <c r="K13" s="67"/>
      <c r="L13" s="39"/>
    </row>
    <row r="14" spans="1:12" ht="15.95" customHeight="1" x14ac:dyDescent="0.15">
      <c r="A14" s="44"/>
      <c r="B14" s="46"/>
      <c r="C14" s="46" t="s">
        <v>137</v>
      </c>
      <c r="D14" s="65">
        <v>10</v>
      </c>
      <c r="E14" s="66">
        <v>0.8</v>
      </c>
      <c r="F14" s="66">
        <v>0.88</v>
      </c>
      <c r="G14" s="66">
        <v>1.1000000000000001</v>
      </c>
      <c r="H14" s="165"/>
      <c r="I14" s="165"/>
      <c r="J14" s="165"/>
      <c r="K14" s="67"/>
      <c r="L14" s="39"/>
    </row>
    <row r="15" spans="1:12" ht="15.95" customHeight="1" x14ac:dyDescent="0.15">
      <c r="A15" s="44"/>
      <c r="B15" s="46"/>
      <c r="C15" s="46" t="s">
        <v>138</v>
      </c>
      <c r="D15" s="65">
        <v>11</v>
      </c>
      <c r="E15" s="66">
        <v>0.83</v>
      </c>
      <c r="F15" s="66">
        <v>0.92</v>
      </c>
      <c r="G15" s="66">
        <v>1.1499999999999999</v>
      </c>
      <c r="H15" s="166"/>
      <c r="I15" s="166"/>
      <c r="J15" s="166"/>
      <c r="K15" s="67"/>
      <c r="L15" s="39"/>
    </row>
    <row r="16" spans="1:12" ht="15.95" customHeight="1" x14ac:dyDescent="0.15">
      <c r="A16" s="44"/>
      <c r="B16" s="52"/>
      <c r="C16" s="68"/>
      <c r="D16" s="44"/>
      <c r="E16" s="51"/>
      <c r="F16" s="51"/>
      <c r="G16" s="51"/>
      <c r="H16" s="51"/>
      <c r="I16" s="51"/>
      <c r="J16" s="51"/>
      <c r="K16" s="44"/>
      <c r="L16" s="44"/>
    </row>
    <row r="17" spans="1:12" ht="15.95" customHeight="1" x14ac:dyDescent="0.15">
      <c r="A17" s="44"/>
      <c r="B17" s="64" t="s">
        <v>139</v>
      </c>
      <c r="C17" s="45"/>
      <c r="D17" s="44"/>
      <c r="E17" s="51"/>
      <c r="F17" s="44"/>
      <c r="G17" s="44"/>
      <c r="H17" s="44"/>
      <c r="I17" s="44"/>
      <c r="J17" s="44"/>
      <c r="K17" s="44"/>
      <c r="L17" s="44"/>
    </row>
    <row r="18" spans="1:12" ht="15.95" customHeight="1" x14ac:dyDescent="0.15">
      <c r="A18" s="44"/>
      <c r="B18" s="162" t="s">
        <v>104</v>
      </c>
      <c r="C18" s="162" t="s">
        <v>123</v>
      </c>
      <c r="D18" s="168" t="s">
        <v>140</v>
      </c>
      <c r="E18" s="169"/>
      <c r="F18" s="170"/>
      <c r="G18" s="168" t="s">
        <v>141</v>
      </c>
      <c r="H18" s="169"/>
      <c r="I18" s="170"/>
      <c r="J18" s="159" t="s">
        <v>142</v>
      </c>
      <c r="K18" s="159" t="s">
        <v>105</v>
      </c>
      <c r="L18" s="69"/>
    </row>
    <row r="19" spans="1:12" ht="15.95" customHeight="1" x14ac:dyDescent="0.15">
      <c r="A19" s="44"/>
      <c r="B19" s="167"/>
      <c r="C19" s="167"/>
      <c r="D19" s="171"/>
      <c r="E19" s="172"/>
      <c r="F19" s="173"/>
      <c r="G19" s="171"/>
      <c r="H19" s="172"/>
      <c r="I19" s="173"/>
      <c r="J19" s="160"/>
      <c r="K19" s="160"/>
      <c r="L19" s="69"/>
    </row>
    <row r="20" spans="1:12" ht="15.95" customHeight="1" x14ac:dyDescent="0.15">
      <c r="A20" s="44"/>
      <c r="B20" s="167"/>
      <c r="C20" s="167"/>
      <c r="D20" s="159" t="s">
        <v>126</v>
      </c>
      <c r="E20" s="159" t="s">
        <v>143</v>
      </c>
      <c r="F20" s="162" t="s">
        <v>127</v>
      </c>
      <c r="G20" s="159" t="s">
        <v>126</v>
      </c>
      <c r="H20" s="159" t="s">
        <v>143</v>
      </c>
      <c r="I20" s="162" t="s">
        <v>127</v>
      </c>
      <c r="J20" s="160"/>
      <c r="K20" s="160"/>
      <c r="L20" s="69"/>
    </row>
    <row r="21" spans="1:12" ht="15.95" customHeight="1" x14ac:dyDescent="0.15">
      <c r="A21" s="44"/>
      <c r="B21" s="163"/>
      <c r="C21" s="163"/>
      <c r="D21" s="161"/>
      <c r="E21" s="161"/>
      <c r="F21" s="163"/>
      <c r="G21" s="161"/>
      <c r="H21" s="161"/>
      <c r="I21" s="163"/>
      <c r="J21" s="161"/>
      <c r="K21" s="161"/>
      <c r="L21" s="70"/>
    </row>
    <row r="22" spans="1:12" ht="15.95" customHeight="1" x14ac:dyDescent="0.15">
      <c r="A22" s="44"/>
      <c r="B22" s="46" t="s">
        <v>107</v>
      </c>
      <c r="C22" s="71" t="s">
        <v>108</v>
      </c>
      <c r="D22" s="72">
        <v>155</v>
      </c>
      <c r="E22" s="72">
        <v>155</v>
      </c>
      <c r="F22" s="73">
        <v>155</v>
      </c>
      <c r="G22" s="74">
        <v>235</v>
      </c>
      <c r="H22" s="74">
        <v>235</v>
      </c>
      <c r="I22" s="75">
        <v>235</v>
      </c>
      <c r="J22" s="76">
        <v>235</v>
      </c>
      <c r="K22" s="77"/>
      <c r="L22" s="70"/>
    </row>
    <row r="23" spans="1:12" ht="15.95" customHeight="1" x14ac:dyDescent="0.15">
      <c r="A23" s="44"/>
      <c r="B23" s="46" t="s">
        <v>106</v>
      </c>
      <c r="C23" s="46" t="s">
        <v>109</v>
      </c>
      <c r="D23" s="78" t="s">
        <v>144</v>
      </c>
      <c r="E23" s="78" t="s">
        <v>144</v>
      </c>
      <c r="F23" s="78">
        <v>195</v>
      </c>
      <c r="G23" s="78">
        <v>295</v>
      </c>
      <c r="H23" s="78">
        <v>295</v>
      </c>
      <c r="I23" s="79">
        <v>295</v>
      </c>
      <c r="J23" s="79">
        <v>295</v>
      </c>
      <c r="K23" s="159" t="s">
        <v>145</v>
      </c>
      <c r="L23" s="70"/>
    </row>
    <row r="24" spans="1:12" ht="15.95" customHeight="1" x14ac:dyDescent="0.15">
      <c r="A24" s="44"/>
      <c r="B24" s="46" t="s">
        <v>106</v>
      </c>
      <c r="C24" s="46" t="s">
        <v>110</v>
      </c>
      <c r="D24" s="78" t="s">
        <v>146</v>
      </c>
      <c r="E24" s="78" t="s">
        <v>146</v>
      </c>
      <c r="F24" s="78">
        <v>195</v>
      </c>
      <c r="G24" s="78">
        <v>345</v>
      </c>
      <c r="H24" s="78">
        <v>345</v>
      </c>
      <c r="I24" s="79">
        <v>345</v>
      </c>
      <c r="J24" s="79">
        <v>345</v>
      </c>
      <c r="K24" s="160"/>
      <c r="L24" s="70"/>
    </row>
    <row r="25" spans="1:12" ht="15.95" customHeight="1" x14ac:dyDescent="0.15">
      <c r="A25" s="44"/>
      <c r="B25" s="46" t="s">
        <v>107</v>
      </c>
      <c r="C25" s="46" t="s">
        <v>111</v>
      </c>
      <c r="D25" s="78" t="s">
        <v>146</v>
      </c>
      <c r="E25" s="78" t="s">
        <v>146</v>
      </c>
      <c r="F25" s="78">
        <v>195</v>
      </c>
      <c r="G25" s="78">
        <v>390</v>
      </c>
      <c r="H25" s="78">
        <v>390</v>
      </c>
      <c r="I25" s="79">
        <v>390</v>
      </c>
      <c r="J25" s="79">
        <v>390</v>
      </c>
      <c r="K25" s="161"/>
      <c r="L25" s="70"/>
    </row>
    <row r="26" spans="1:12" ht="15.95" customHeight="1" x14ac:dyDescent="0.15">
      <c r="A26" s="44"/>
      <c r="B26" s="46" t="s">
        <v>106</v>
      </c>
      <c r="C26" s="46" t="s">
        <v>112</v>
      </c>
      <c r="D26" s="78" t="s">
        <v>147</v>
      </c>
      <c r="E26" s="78">
        <v>196</v>
      </c>
      <c r="F26" s="78">
        <v>196</v>
      </c>
      <c r="G26" s="78" t="s">
        <v>147</v>
      </c>
      <c r="H26" s="78">
        <v>295</v>
      </c>
      <c r="I26" s="79">
        <v>295</v>
      </c>
      <c r="J26" s="79">
        <v>295</v>
      </c>
      <c r="K26" s="80"/>
      <c r="L26" s="44"/>
    </row>
    <row r="27" spans="1:12" ht="15.95" customHeight="1" x14ac:dyDescent="0.15">
      <c r="A27" s="44"/>
      <c r="B27" s="44"/>
      <c r="C27" s="68" t="s">
        <v>148</v>
      </c>
      <c r="D27" s="44"/>
      <c r="E27" s="44"/>
      <c r="F27" s="44"/>
      <c r="G27" s="81"/>
      <c r="H27" s="81"/>
      <c r="I27" s="82"/>
      <c r="J27" s="47"/>
      <c r="K27" s="81"/>
      <c r="L27" s="44"/>
    </row>
    <row r="28" spans="1:12" ht="15.95" customHeight="1" x14ac:dyDescent="0.15">
      <c r="A28" s="44"/>
      <c r="B28" s="44"/>
      <c r="C28" s="68" t="s">
        <v>149</v>
      </c>
      <c r="D28" s="44"/>
      <c r="E28" s="44"/>
      <c r="F28" s="44"/>
      <c r="G28" s="81"/>
      <c r="H28" s="81"/>
      <c r="I28" s="82"/>
      <c r="J28" s="47"/>
      <c r="K28" s="81"/>
      <c r="L28" s="44"/>
    </row>
    <row r="29" spans="1:12" ht="15.95" customHeight="1" x14ac:dyDescent="0.15">
      <c r="A29" s="44"/>
      <c r="C29" s="68"/>
      <c r="D29" s="44"/>
      <c r="E29" s="44"/>
      <c r="F29" s="44"/>
      <c r="G29" s="81"/>
      <c r="H29" s="81"/>
      <c r="I29" s="82"/>
      <c r="J29" s="47"/>
      <c r="K29" s="81"/>
      <c r="L29" s="44"/>
    </row>
    <row r="30" spans="1:12" ht="15.95" customHeight="1" x14ac:dyDescent="0.15">
      <c r="A30" s="44"/>
      <c r="B30" s="64" t="s">
        <v>150</v>
      </c>
      <c r="C30" s="45"/>
      <c r="D30" s="44"/>
      <c r="E30" s="44"/>
      <c r="F30" s="44"/>
      <c r="G30" s="44"/>
      <c r="H30" s="44"/>
      <c r="I30" s="44"/>
      <c r="J30" s="44"/>
      <c r="K30" s="44"/>
      <c r="L30" s="44"/>
    </row>
    <row r="31" spans="1:12" ht="15.95" customHeight="1" x14ac:dyDescent="0.15">
      <c r="A31" s="44"/>
      <c r="B31" s="162" t="s">
        <v>104</v>
      </c>
      <c r="C31" s="162" t="s">
        <v>123</v>
      </c>
      <c r="D31" s="168" t="s">
        <v>140</v>
      </c>
      <c r="E31" s="169"/>
      <c r="F31" s="169"/>
      <c r="G31" s="169"/>
      <c r="H31" s="170"/>
      <c r="I31" s="159" t="s">
        <v>151</v>
      </c>
      <c r="J31" s="159" t="s">
        <v>142</v>
      </c>
      <c r="K31" s="159" t="s">
        <v>105</v>
      </c>
      <c r="L31" s="44"/>
    </row>
    <row r="32" spans="1:12" ht="15.95" customHeight="1" x14ac:dyDescent="0.15">
      <c r="A32" s="44"/>
      <c r="B32" s="167"/>
      <c r="C32" s="167"/>
      <c r="D32" s="171"/>
      <c r="E32" s="172"/>
      <c r="F32" s="172"/>
      <c r="G32" s="172"/>
      <c r="H32" s="173"/>
      <c r="I32" s="160"/>
      <c r="J32" s="160"/>
      <c r="K32" s="160"/>
      <c r="L32" s="69"/>
    </row>
    <row r="33" spans="1:12" ht="15.95" customHeight="1" x14ac:dyDescent="0.15">
      <c r="A33" s="44"/>
      <c r="B33" s="167"/>
      <c r="C33" s="167"/>
      <c r="D33" s="159" t="s">
        <v>126</v>
      </c>
      <c r="E33" s="159" t="s">
        <v>143</v>
      </c>
      <c r="F33" s="159" t="s">
        <v>152</v>
      </c>
      <c r="G33" s="159" t="s">
        <v>127</v>
      </c>
      <c r="H33" s="159" t="s">
        <v>153</v>
      </c>
      <c r="I33" s="160"/>
      <c r="J33" s="160"/>
      <c r="K33" s="160"/>
      <c r="L33" s="69"/>
    </row>
    <row r="34" spans="1:12" ht="15.95" customHeight="1" x14ac:dyDescent="0.15">
      <c r="A34" s="44"/>
      <c r="B34" s="167"/>
      <c r="C34" s="167"/>
      <c r="D34" s="160"/>
      <c r="E34" s="160"/>
      <c r="F34" s="160"/>
      <c r="G34" s="160"/>
      <c r="H34" s="160"/>
      <c r="I34" s="160"/>
      <c r="J34" s="160"/>
      <c r="K34" s="160"/>
      <c r="L34" s="69"/>
    </row>
    <row r="35" spans="1:12" ht="15.95" customHeight="1" x14ac:dyDescent="0.15">
      <c r="A35" s="44"/>
      <c r="B35" s="163"/>
      <c r="C35" s="163"/>
      <c r="D35" s="161"/>
      <c r="E35" s="161"/>
      <c r="F35" s="161"/>
      <c r="G35" s="161"/>
      <c r="H35" s="161"/>
      <c r="I35" s="161"/>
      <c r="J35" s="161"/>
      <c r="K35" s="161"/>
      <c r="L35" s="69"/>
    </row>
    <row r="36" spans="1:12" ht="15.95" customHeight="1" x14ac:dyDescent="0.15">
      <c r="A36" s="44"/>
      <c r="B36" s="46"/>
      <c r="C36" s="83" t="s">
        <v>154</v>
      </c>
      <c r="D36" s="156" t="s">
        <v>155</v>
      </c>
      <c r="E36" s="156" t="s">
        <v>155</v>
      </c>
      <c r="F36" s="156" t="s">
        <v>155</v>
      </c>
      <c r="G36" s="156" t="s">
        <v>156</v>
      </c>
      <c r="H36" s="156" t="s">
        <v>157</v>
      </c>
      <c r="I36" s="153" t="s">
        <v>158</v>
      </c>
      <c r="J36" s="156" t="s">
        <v>159</v>
      </c>
      <c r="K36" s="159" t="s">
        <v>160</v>
      </c>
      <c r="L36" s="69"/>
    </row>
    <row r="37" spans="1:12" ht="15.95" customHeight="1" x14ac:dyDescent="0.15">
      <c r="A37" s="44"/>
      <c r="B37" s="46" t="s">
        <v>106</v>
      </c>
      <c r="C37" s="83" t="s">
        <v>161</v>
      </c>
      <c r="D37" s="157"/>
      <c r="E37" s="157"/>
      <c r="F37" s="157"/>
      <c r="G37" s="157"/>
      <c r="H37" s="157"/>
      <c r="I37" s="154"/>
      <c r="J37" s="157"/>
      <c r="K37" s="160"/>
      <c r="L37" s="69"/>
    </row>
    <row r="38" spans="1:12" ht="15.95" customHeight="1" x14ac:dyDescent="0.15">
      <c r="A38" s="44"/>
      <c r="B38" s="46" t="s">
        <v>106</v>
      </c>
      <c r="C38" s="83" t="s">
        <v>114</v>
      </c>
      <c r="D38" s="157"/>
      <c r="E38" s="157"/>
      <c r="F38" s="157"/>
      <c r="G38" s="157"/>
      <c r="H38" s="157"/>
      <c r="I38" s="154"/>
      <c r="J38" s="157"/>
      <c r="K38" s="160"/>
      <c r="L38" s="69"/>
    </row>
    <row r="39" spans="1:12" ht="15.95" customHeight="1" x14ac:dyDescent="0.15">
      <c r="A39" s="44"/>
      <c r="B39" s="46"/>
      <c r="C39" s="83" t="s">
        <v>115</v>
      </c>
      <c r="D39" s="157"/>
      <c r="E39" s="157"/>
      <c r="F39" s="157"/>
      <c r="G39" s="157"/>
      <c r="H39" s="157"/>
      <c r="I39" s="154"/>
      <c r="J39" s="157"/>
      <c r="K39" s="160"/>
      <c r="L39" s="69"/>
    </row>
    <row r="40" spans="1:12" ht="15.95" customHeight="1" x14ac:dyDescent="0.15">
      <c r="A40" s="44"/>
      <c r="B40" s="46" t="s">
        <v>106</v>
      </c>
      <c r="C40" s="83" t="s">
        <v>116</v>
      </c>
      <c r="D40" s="158"/>
      <c r="E40" s="158"/>
      <c r="F40" s="158"/>
      <c r="G40" s="158"/>
      <c r="H40" s="158"/>
      <c r="I40" s="154"/>
      <c r="J40" s="158"/>
      <c r="K40" s="160"/>
      <c r="L40" s="69"/>
    </row>
    <row r="41" spans="1:12" ht="15.95" customHeight="1" x14ac:dyDescent="0.15">
      <c r="A41" s="44"/>
      <c r="B41" s="46" t="s">
        <v>107</v>
      </c>
      <c r="C41" s="83" t="s">
        <v>162</v>
      </c>
      <c r="D41" s="156" t="s">
        <v>163</v>
      </c>
      <c r="E41" s="156" t="s">
        <v>163</v>
      </c>
      <c r="F41" s="156" t="s">
        <v>163</v>
      </c>
      <c r="G41" s="156" t="s">
        <v>164</v>
      </c>
      <c r="H41" s="156" t="s">
        <v>165</v>
      </c>
      <c r="I41" s="154"/>
      <c r="J41" s="156" t="s">
        <v>166</v>
      </c>
      <c r="K41" s="160"/>
      <c r="L41" s="70"/>
    </row>
    <row r="42" spans="1:12" ht="15.95" customHeight="1" x14ac:dyDescent="0.15">
      <c r="A42" s="44"/>
      <c r="B42" s="46" t="s">
        <v>106</v>
      </c>
      <c r="C42" s="83" t="s">
        <v>113</v>
      </c>
      <c r="D42" s="158"/>
      <c r="E42" s="158"/>
      <c r="F42" s="158"/>
      <c r="G42" s="158"/>
      <c r="H42" s="158"/>
      <c r="I42" s="154"/>
      <c r="J42" s="158"/>
      <c r="K42" s="161"/>
      <c r="L42" s="70"/>
    </row>
    <row r="43" spans="1:12" ht="15.95" customHeight="1" x14ac:dyDescent="0.15">
      <c r="A43" s="44"/>
      <c r="B43" s="46" t="s">
        <v>106</v>
      </c>
      <c r="C43" s="46" t="s">
        <v>117</v>
      </c>
      <c r="D43" s="78">
        <v>196</v>
      </c>
      <c r="E43" s="78">
        <v>196</v>
      </c>
      <c r="F43" s="78">
        <v>196</v>
      </c>
      <c r="G43" s="78">
        <v>113</v>
      </c>
      <c r="H43" s="79" t="s">
        <v>147</v>
      </c>
      <c r="I43" s="154"/>
      <c r="J43" s="79">
        <v>295</v>
      </c>
      <c r="K43" s="84"/>
      <c r="L43" s="70"/>
    </row>
    <row r="44" spans="1:12" ht="15.95" customHeight="1" x14ac:dyDescent="0.15">
      <c r="A44" s="44"/>
      <c r="B44" s="46"/>
      <c r="C44" s="46" t="s">
        <v>118</v>
      </c>
      <c r="D44" s="78">
        <v>156</v>
      </c>
      <c r="E44" s="78">
        <v>156</v>
      </c>
      <c r="F44" s="78">
        <v>156</v>
      </c>
      <c r="G44" s="78">
        <v>90</v>
      </c>
      <c r="H44" s="79" t="s">
        <v>147</v>
      </c>
      <c r="I44" s="154"/>
      <c r="J44" s="79">
        <v>235</v>
      </c>
      <c r="K44" s="84"/>
      <c r="L44" s="70"/>
    </row>
    <row r="45" spans="1:12" ht="15.95" customHeight="1" x14ac:dyDescent="0.15">
      <c r="A45" s="44"/>
      <c r="B45" s="46" t="s">
        <v>107</v>
      </c>
      <c r="C45" s="46" t="s">
        <v>119</v>
      </c>
      <c r="D45" s="78">
        <v>216</v>
      </c>
      <c r="E45" s="78">
        <v>216</v>
      </c>
      <c r="F45" s="78">
        <v>216</v>
      </c>
      <c r="G45" s="78">
        <v>125</v>
      </c>
      <c r="H45" s="79" t="s">
        <v>147</v>
      </c>
      <c r="I45" s="155"/>
      <c r="J45" s="79">
        <v>325</v>
      </c>
      <c r="K45" s="84"/>
      <c r="L45" s="44"/>
    </row>
    <row r="46" spans="1:12" ht="15.95" customHeight="1" x14ac:dyDescent="0.15">
      <c r="A46" s="44"/>
      <c r="B46" s="44"/>
      <c r="C46" s="68" t="s">
        <v>148</v>
      </c>
      <c r="D46" s="85"/>
      <c r="E46" s="85"/>
      <c r="F46" s="85"/>
      <c r="G46" s="85"/>
      <c r="H46" s="86"/>
      <c r="I46" s="86"/>
      <c r="J46" s="86"/>
      <c r="K46" s="44"/>
      <c r="L46" s="44"/>
    </row>
    <row r="47" spans="1:12" ht="15.95" customHeight="1" x14ac:dyDescent="0.15">
      <c r="A47" s="44"/>
      <c r="B47" s="44"/>
      <c r="C47" s="44"/>
      <c r="D47" s="44"/>
      <c r="E47" s="44"/>
      <c r="F47" s="48"/>
      <c r="G47" s="42"/>
      <c r="H47" s="49"/>
      <c r="I47" s="49"/>
      <c r="J47" s="49"/>
      <c r="K47" s="49"/>
      <c r="L47" s="49"/>
    </row>
    <row r="48" spans="1:12" ht="15.95" customHeight="1" x14ac:dyDescent="0.15">
      <c r="A48" s="44"/>
      <c r="B48" s="44"/>
      <c r="C48" s="45"/>
      <c r="D48" s="44"/>
      <c r="E48" s="44"/>
      <c r="F48" s="48"/>
      <c r="G48" s="51"/>
      <c r="H48" s="44"/>
      <c r="I48" s="44"/>
      <c r="J48" s="44"/>
      <c r="K48" s="44"/>
      <c r="L48" s="44"/>
    </row>
    <row r="49" spans="1:12" ht="15.95" customHeight="1" x14ac:dyDescent="0.15">
      <c r="A49" s="44"/>
      <c r="B49" s="44"/>
      <c r="C49" s="44"/>
      <c r="D49" s="44"/>
      <c r="E49" s="44"/>
      <c r="F49" s="48"/>
      <c r="G49" s="50"/>
      <c r="H49" s="49"/>
      <c r="I49" s="49"/>
      <c r="J49" s="49"/>
      <c r="K49" s="49"/>
      <c r="L49" s="49"/>
    </row>
    <row r="50" spans="1:12" ht="14.1" customHeight="1" x14ac:dyDescent="0.15">
      <c r="A50" s="44"/>
      <c r="B50" s="52"/>
      <c r="C50" s="53"/>
      <c r="D50" s="53"/>
      <c r="E50" s="54"/>
      <c r="F50" s="54"/>
      <c r="G50" s="55"/>
      <c r="H50" s="56"/>
      <c r="I50" s="57"/>
      <c r="J50" s="57"/>
      <c r="K50" s="58"/>
      <c r="L50" s="58"/>
    </row>
    <row r="51" spans="1:12" ht="14.1" customHeight="1" x14ac:dyDescent="0.15">
      <c r="A51" s="44"/>
      <c r="B51" s="44"/>
      <c r="C51" s="53"/>
      <c r="D51" s="53"/>
      <c r="E51" s="54"/>
      <c r="F51" s="54"/>
      <c r="G51" s="55"/>
      <c r="H51" s="56"/>
      <c r="I51" s="57"/>
      <c r="J51" s="57"/>
      <c r="K51" s="58"/>
      <c r="L51" s="58"/>
    </row>
    <row r="52" spans="1:12" ht="14.1" customHeight="1" x14ac:dyDescent="0.15">
      <c r="A52" s="44"/>
      <c r="B52" s="44"/>
      <c r="C52" s="53"/>
      <c r="D52" s="53"/>
      <c r="E52" s="54"/>
      <c r="F52" s="54"/>
      <c r="G52" s="55"/>
      <c r="H52" s="56"/>
      <c r="I52" s="57"/>
      <c r="J52" s="57"/>
      <c r="K52" s="58"/>
      <c r="L52" s="58"/>
    </row>
    <row r="53" spans="1:12" ht="14.1" customHeight="1" x14ac:dyDescent="0.15">
      <c r="A53" s="44"/>
      <c r="B53" s="44"/>
      <c r="C53" s="44"/>
      <c r="D53" s="44"/>
      <c r="E53" s="44"/>
      <c r="F53" s="48"/>
      <c r="G53" s="50"/>
      <c r="H53" s="49"/>
      <c r="I53" s="49"/>
      <c r="J53" s="59"/>
      <c r="K53" s="49"/>
      <c r="L53" s="49"/>
    </row>
    <row r="54" spans="1:12" ht="14.1" customHeight="1" x14ac:dyDescent="0.15">
      <c r="A54" s="44"/>
      <c r="B54" s="44"/>
      <c r="C54" s="44"/>
      <c r="D54" s="44"/>
      <c r="E54" s="44"/>
      <c r="F54" s="44"/>
      <c r="G54" s="51"/>
      <c r="H54" s="49"/>
      <c r="I54" s="49"/>
      <c r="J54" s="49"/>
      <c r="K54" s="49"/>
      <c r="L54" s="49"/>
    </row>
    <row r="55" spans="1:12" ht="14.1" customHeight="1" x14ac:dyDescent="0.15">
      <c r="A55" s="44"/>
      <c r="B55" s="44"/>
      <c r="C55" s="44"/>
      <c r="D55" s="44"/>
      <c r="E55" s="44"/>
      <c r="F55" s="48"/>
      <c r="G55" s="51"/>
      <c r="H55" s="44"/>
      <c r="I55" s="44"/>
      <c r="J55" s="44"/>
      <c r="K55" s="44"/>
      <c r="L55" s="44"/>
    </row>
    <row r="56" spans="1:12" ht="14.1" customHeight="1" x14ac:dyDescent="0.15">
      <c r="A56" s="44"/>
      <c r="B56" s="44"/>
      <c r="C56" s="44"/>
      <c r="D56" s="44"/>
      <c r="E56" s="44"/>
      <c r="F56" s="48"/>
      <c r="G56" s="42"/>
      <c r="H56" s="49"/>
      <c r="I56" s="49"/>
      <c r="J56" s="49"/>
      <c r="K56" s="49"/>
      <c r="L56" s="49"/>
    </row>
    <row r="57" spans="1:12" ht="14.1" customHeight="1" x14ac:dyDescent="0.15">
      <c r="A57" s="60"/>
      <c r="B57" s="61"/>
      <c r="C57" s="45"/>
      <c r="D57" s="44"/>
      <c r="E57" s="44"/>
      <c r="F57" s="48"/>
      <c r="G57" s="51"/>
      <c r="H57" s="44"/>
      <c r="I57" s="44"/>
      <c r="J57" s="44"/>
      <c r="K57" s="44"/>
      <c r="L57" s="44"/>
    </row>
    <row r="58" spans="1:12" ht="14.1" customHeight="1" x14ac:dyDescent="0.15">
      <c r="A58" s="61"/>
      <c r="B58" s="61"/>
      <c r="C58" s="44"/>
      <c r="D58" s="44"/>
      <c r="E58" s="44"/>
      <c r="F58" s="48"/>
      <c r="G58" s="50"/>
      <c r="H58" s="49"/>
      <c r="I58" s="49"/>
      <c r="J58" s="49"/>
      <c r="K58" s="49"/>
      <c r="L58" s="49"/>
    </row>
    <row r="59" spans="1:12" ht="14.1" customHeight="1" x14ac:dyDescent="0.15">
      <c r="A59" s="44"/>
      <c r="B59" s="44"/>
      <c r="C59" s="44"/>
      <c r="D59" s="44"/>
      <c r="E59" s="44"/>
      <c r="F59" s="48"/>
      <c r="G59" s="51"/>
      <c r="H59" s="44"/>
      <c r="I59" s="44"/>
      <c r="J59" s="44"/>
      <c r="K59" s="44"/>
      <c r="L59" s="44"/>
    </row>
    <row r="60" spans="1:12" ht="14.1" customHeight="1" x14ac:dyDescent="0.15">
      <c r="C60" s="44"/>
      <c r="D60" s="44"/>
      <c r="E60" s="44"/>
      <c r="F60" s="48"/>
      <c r="G60" s="50"/>
      <c r="H60" s="49"/>
      <c r="I60" s="49"/>
      <c r="J60" s="49"/>
      <c r="K60" s="49"/>
      <c r="L60" s="49"/>
    </row>
  </sheetData>
  <mergeCells count="54">
    <mergeCell ref="B5:B9"/>
    <mergeCell ref="C5:C9"/>
    <mergeCell ref="D5:G6"/>
    <mergeCell ref="H5:J6"/>
    <mergeCell ref="K5:K9"/>
    <mergeCell ref="D7:D9"/>
    <mergeCell ref="E7:E9"/>
    <mergeCell ref="F7:G7"/>
    <mergeCell ref="H7:H9"/>
    <mergeCell ref="I7:I9"/>
    <mergeCell ref="J7:J9"/>
    <mergeCell ref="F8:F9"/>
    <mergeCell ref="G8:G9"/>
    <mergeCell ref="H10:H15"/>
    <mergeCell ref="I10:I15"/>
    <mergeCell ref="J10:J15"/>
    <mergeCell ref="B31:B35"/>
    <mergeCell ref="C31:C35"/>
    <mergeCell ref="D31:H32"/>
    <mergeCell ref="I31:I35"/>
    <mergeCell ref="J31:J35"/>
    <mergeCell ref="D33:D35"/>
    <mergeCell ref="B18:B21"/>
    <mergeCell ref="C18:C21"/>
    <mergeCell ref="D18:F19"/>
    <mergeCell ref="G18:I19"/>
    <mergeCell ref="J18:J21"/>
    <mergeCell ref="D20:D21"/>
    <mergeCell ref="E20:E21"/>
    <mergeCell ref="F20:F21"/>
    <mergeCell ref="G20:G21"/>
    <mergeCell ref="H20:H21"/>
    <mergeCell ref="I20:I21"/>
    <mergeCell ref="K18:K21"/>
    <mergeCell ref="E33:E35"/>
    <mergeCell ref="F33:F35"/>
    <mergeCell ref="G33:G35"/>
    <mergeCell ref="H33:H35"/>
    <mergeCell ref="K23:K25"/>
    <mergeCell ref="K31:K35"/>
    <mergeCell ref="I36:I45"/>
    <mergeCell ref="J36:J40"/>
    <mergeCell ref="K36:K42"/>
    <mergeCell ref="D41:D42"/>
    <mergeCell ref="E41:E42"/>
    <mergeCell ref="F41:F42"/>
    <mergeCell ref="G41:G42"/>
    <mergeCell ref="H41:H42"/>
    <mergeCell ref="J41:J42"/>
    <mergeCell ref="D36:D40"/>
    <mergeCell ref="E36:E40"/>
    <mergeCell ref="F36:F40"/>
    <mergeCell ref="G36:G40"/>
    <mergeCell ref="H36:H40"/>
  </mergeCells>
  <phoneticPr fontId="9"/>
  <dataValidations count="1">
    <dataValidation type="list" allowBlank="1" showInputMessage="1" showErrorMessage="1" sqref="B22:B26 B10:B15 B36:B45" xr:uid="{33010260-838B-47E8-900C-B1418A34F66C}">
      <formula1>"　,○,"</formula1>
    </dataValidation>
  </dataValidations>
  <pageMargins left="0.78740157480314965" right="0.78740157480314965" top="0.98425196850393704" bottom="0.98425196850393704" header="0.51181102362204722" footer="0.51181102362204722"/>
  <pageSetup paperSize="9" scale="91" firstPageNumber="5" orientation="portrait" blackAndWhite="1" useFirstPageNumber="1" horizontalDpi="200" verticalDpi="200" r:id="rId1"/>
  <headerFooter alignWithMargins="0"/>
  <colBreaks count="1" manualBreakCount="1">
    <brk id="11" max="1048575" man="1"/>
  </col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1AA76-6A72-41D1-937E-596E544897D7}">
  <sheetPr codeName="Sheet7"/>
  <dimension ref="A1:AY51"/>
  <sheetViews>
    <sheetView tabSelected="1" topLeftCell="Z10" zoomScaleNormal="100" workbookViewId="0">
      <selection activeCell="AT8" sqref="AT8"/>
    </sheetView>
  </sheetViews>
  <sheetFormatPr defaultRowHeight="14.25" x14ac:dyDescent="0.4"/>
  <cols>
    <col min="1" max="1" width="2.625" style="2" customWidth="1"/>
    <col min="2" max="11" width="7.375" style="2" customWidth="1"/>
    <col min="12" max="13" width="2.625" style="2" customWidth="1"/>
    <col min="14" max="21" width="9.125" style="2" customWidth="1"/>
    <col min="22" max="23" width="2.625" style="2" customWidth="1"/>
    <col min="24" max="31" width="9.125" style="2" customWidth="1"/>
    <col min="32" max="33" width="2.625" style="2" customWidth="1"/>
    <col min="34" max="41" width="9.125" style="2" customWidth="1"/>
    <col min="42" max="43" width="2.625" style="2" customWidth="1"/>
    <col min="44" max="16384" width="9" style="2"/>
  </cols>
  <sheetData>
    <row r="1" spans="1:50" x14ac:dyDescent="0.4">
      <c r="A1" s="2">
        <v>1</v>
      </c>
      <c r="B1" s="2">
        <v>2</v>
      </c>
      <c r="C1" s="2">
        <v>3</v>
      </c>
      <c r="D1" s="2">
        <v>4</v>
      </c>
      <c r="E1" s="2">
        <v>5</v>
      </c>
      <c r="F1" s="2">
        <v>6</v>
      </c>
      <c r="G1" s="2">
        <v>7</v>
      </c>
      <c r="H1" s="2">
        <v>8</v>
      </c>
      <c r="I1" s="2">
        <v>9</v>
      </c>
      <c r="J1" s="2">
        <v>10</v>
      </c>
    </row>
    <row r="2" spans="1:50" x14ac:dyDescent="0.25">
      <c r="A2" s="2">
        <v>2</v>
      </c>
      <c r="B2" s="1" t="s">
        <v>0</v>
      </c>
      <c r="N2" s="1" t="s">
        <v>41</v>
      </c>
      <c r="X2" s="32" t="s">
        <v>93</v>
      </c>
      <c r="Y2" s="2" t="s">
        <v>94</v>
      </c>
      <c r="AH2" s="2" t="s">
        <v>255</v>
      </c>
    </row>
    <row r="3" spans="1:50" x14ac:dyDescent="0.25">
      <c r="A3" s="2">
        <v>3</v>
      </c>
      <c r="B3" s="1"/>
      <c r="D3" s="1"/>
      <c r="E3" s="1"/>
      <c r="F3" s="1"/>
      <c r="H3" s="1"/>
      <c r="J3" s="1"/>
      <c r="K3" s="1"/>
      <c r="L3" s="1"/>
      <c r="M3" s="1"/>
      <c r="O3" s="1"/>
      <c r="P3" s="1"/>
      <c r="Q3" s="1"/>
      <c r="R3" s="1"/>
      <c r="S3" s="1"/>
      <c r="T3" s="1"/>
      <c r="U3" s="1"/>
      <c r="V3" s="1"/>
    </row>
    <row r="4" spans="1:50" x14ac:dyDescent="0.25">
      <c r="A4" s="2">
        <v>4</v>
      </c>
      <c r="B4" s="3" t="s">
        <v>15</v>
      </c>
      <c r="E4" s="1"/>
      <c r="F4" s="1"/>
      <c r="H4" s="148"/>
      <c r="I4" s="6"/>
      <c r="J4" s="4"/>
      <c r="N4" s="11" t="s">
        <v>71</v>
      </c>
      <c r="O4" s="1" t="s">
        <v>42</v>
      </c>
      <c r="P4" s="1"/>
      <c r="Q4" s="1"/>
      <c r="R4" s="1"/>
      <c r="S4" s="1"/>
      <c r="T4" s="1"/>
      <c r="U4" s="1"/>
      <c r="V4" s="1"/>
      <c r="Y4" s="6" t="s">
        <v>178</v>
      </c>
      <c r="AA4" s="6" t="s">
        <v>179</v>
      </c>
      <c r="AB4" s="190" t="str">
        <f>_xlfn.TEXTJOIN(,,ROUND(S23,2),"*",ROUND(R25,2),"=")</f>
        <v>3.31*0.33=</v>
      </c>
      <c r="AC4" s="190"/>
      <c r="AD4" s="31">
        <f>+S23*R25</f>
        <v>1.1007574689280724</v>
      </c>
      <c r="AE4" s="2" t="s">
        <v>181</v>
      </c>
      <c r="AH4" s="32" t="s">
        <v>256</v>
      </c>
      <c r="AI4" s="2" t="s">
        <v>241</v>
      </c>
      <c r="AR4" s="32" t="s">
        <v>257</v>
      </c>
      <c r="AS4" s="2" t="s">
        <v>240</v>
      </c>
    </row>
    <row r="5" spans="1:50" x14ac:dyDescent="0.25">
      <c r="A5" s="2">
        <v>5</v>
      </c>
      <c r="B5" s="1" t="s">
        <v>16</v>
      </c>
      <c r="C5" s="1"/>
      <c r="D5" s="1"/>
      <c r="E5" s="1"/>
      <c r="F5" s="1"/>
      <c r="G5" s="1"/>
      <c r="H5" s="1"/>
      <c r="I5" s="5"/>
      <c r="K5" s="1"/>
      <c r="L5" s="1"/>
      <c r="M5" s="1"/>
      <c r="O5" s="1" t="s">
        <v>43</v>
      </c>
      <c r="P5" s="1"/>
      <c r="Q5" s="1"/>
      <c r="R5" s="1"/>
      <c r="S5" s="1"/>
      <c r="T5" s="1"/>
      <c r="U5" s="1"/>
      <c r="V5" s="1"/>
      <c r="AB5" s="190"/>
      <c r="AC5" s="190"/>
      <c r="AD5" s="117"/>
      <c r="AI5" s="2" t="s">
        <v>220</v>
      </c>
      <c r="AS5" s="2" t="s">
        <v>242</v>
      </c>
    </row>
    <row r="6" spans="1:50" x14ac:dyDescent="0.25">
      <c r="A6" s="2">
        <v>6</v>
      </c>
      <c r="C6" s="5" t="s">
        <v>17</v>
      </c>
      <c r="D6" s="5" t="s">
        <v>19</v>
      </c>
      <c r="E6" s="221">
        <f>+E14+E15</f>
        <v>1</v>
      </c>
      <c r="F6" s="2" t="s">
        <v>18</v>
      </c>
      <c r="H6" s="1"/>
      <c r="I6" s="1"/>
      <c r="J6" s="1"/>
      <c r="K6" s="5"/>
      <c r="L6" s="1"/>
      <c r="M6" s="1"/>
      <c r="N6" s="1"/>
      <c r="O6" s="1"/>
      <c r="P6" s="5" t="s">
        <v>44</v>
      </c>
      <c r="Q6" s="15">
        <f>Q10/P10</f>
        <v>0.27777777777777779</v>
      </c>
      <c r="R6" s="1" t="s">
        <v>18</v>
      </c>
      <c r="S6" s="1"/>
      <c r="T6" s="1"/>
      <c r="U6" s="1"/>
      <c r="V6" s="1"/>
      <c r="Y6" s="6" t="s">
        <v>89</v>
      </c>
      <c r="AA6" s="6" t="s">
        <v>182</v>
      </c>
      <c r="AB6" s="190" t="str">
        <f>_xlfn.TEXTJOIN(,,ROUND(U36,2),"*",ROUND(S50,2),"=")</f>
        <v>6.37*0.43=</v>
      </c>
      <c r="AC6" s="190"/>
      <c r="AD6" s="31">
        <f>+U36*S50</f>
        <v>2.7527406005389454</v>
      </c>
      <c r="AE6" s="2" t="s">
        <v>181</v>
      </c>
      <c r="AI6" s="2" t="s">
        <v>223</v>
      </c>
      <c r="AJ6" s="117"/>
      <c r="AK6" s="117"/>
      <c r="AS6" s="2" t="s">
        <v>223</v>
      </c>
      <c r="AT6" s="117"/>
      <c r="AU6" s="117"/>
    </row>
    <row r="7" spans="1:50" x14ac:dyDescent="0.25">
      <c r="A7" s="2">
        <v>7</v>
      </c>
      <c r="E7" s="10"/>
      <c r="H7" s="1"/>
      <c r="I7" s="1"/>
      <c r="J7" s="5"/>
      <c r="K7" s="1"/>
      <c r="L7" s="1"/>
      <c r="M7" s="1"/>
      <c r="N7" s="1"/>
      <c r="O7" s="1"/>
      <c r="P7" s="5" t="s">
        <v>45</v>
      </c>
      <c r="Q7" s="15">
        <f>+E6+Q6</f>
        <v>1.2777777777777777</v>
      </c>
      <c r="R7" s="1" t="s">
        <v>18</v>
      </c>
      <c r="S7" s="1"/>
      <c r="T7" s="1"/>
      <c r="U7" s="1"/>
      <c r="V7" s="1"/>
      <c r="AJ7" s="19" t="s">
        <v>216</v>
      </c>
      <c r="AK7" s="19" t="s">
        <v>217</v>
      </c>
      <c r="AT7" s="19" t="s">
        <v>243</v>
      </c>
      <c r="AU7" s="19" t="s">
        <v>244</v>
      </c>
      <c r="AV7" s="110" t="s">
        <v>247</v>
      </c>
      <c r="AW7" s="19" t="s">
        <v>246</v>
      </c>
    </row>
    <row r="8" spans="1:50" x14ac:dyDescent="0.25">
      <c r="A8" s="2">
        <v>8</v>
      </c>
      <c r="C8" s="5" t="s">
        <v>23</v>
      </c>
      <c r="D8" s="6" t="s">
        <v>22</v>
      </c>
      <c r="E8" s="219">
        <v>0.15</v>
      </c>
      <c r="F8" s="2" t="s">
        <v>18</v>
      </c>
      <c r="H8" s="1"/>
      <c r="I8" s="1"/>
      <c r="J8" s="1"/>
      <c r="K8" s="1"/>
      <c r="L8" s="1"/>
      <c r="M8" s="1"/>
      <c r="N8" s="1"/>
      <c r="O8" s="12"/>
      <c r="P8" s="4"/>
      <c r="Q8" s="4"/>
      <c r="R8" s="13" t="s">
        <v>46</v>
      </c>
      <c r="S8" s="1" t="s">
        <v>47</v>
      </c>
      <c r="T8" s="1"/>
      <c r="U8" s="1"/>
      <c r="Y8" s="102" t="s">
        <v>191</v>
      </c>
      <c r="AJ8" s="107">
        <f>+S23</f>
        <v>3.3055779847689859</v>
      </c>
      <c r="AK8" s="19">
        <f>+E6-E13</f>
        <v>0.85</v>
      </c>
      <c r="AT8" s="109">
        <f>ROUND(AA44,1)</f>
        <v>3.9</v>
      </c>
      <c r="AU8" s="109">
        <f>+AA45</f>
        <v>22.08016666666667</v>
      </c>
      <c r="AV8" s="109">
        <f>ROUND(+AT8-AU8,1)</f>
        <v>-18.2</v>
      </c>
      <c r="AW8" s="107">
        <f>E12-E9</f>
        <v>0.44999999999999996</v>
      </c>
    </row>
    <row r="9" spans="1:50" x14ac:dyDescent="0.25">
      <c r="A9" s="2">
        <v>9</v>
      </c>
      <c r="C9" s="5" t="s">
        <v>24</v>
      </c>
      <c r="D9" s="6" t="s">
        <v>25</v>
      </c>
      <c r="E9" s="219">
        <v>0.15</v>
      </c>
      <c r="F9" s="2" t="s">
        <v>18</v>
      </c>
      <c r="H9" s="1"/>
      <c r="I9" s="1"/>
      <c r="J9" s="5"/>
      <c r="K9" s="1"/>
      <c r="L9" s="1"/>
      <c r="M9" s="1"/>
      <c r="N9" s="1"/>
      <c r="O9" s="14" t="s">
        <v>48</v>
      </c>
      <c r="P9" s="14" t="s">
        <v>49</v>
      </c>
      <c r="Q9" s="14" t="s">
        <v>50</v>
      </c>
      <c r="R9" s="13" t="s">
        <v>51</v>
      </c>
      <c r="S9" s="1" t="s">
        <v>52</v>
      </c>
      <c r="T9" s="1"/>
      <c r="U9" s="1"/>
      <c r="Y9" s="6" t="s">
        <v>95</v>
      </c>
      <c r="Z9" s="190" t="str">
        <f>_xlfn.TEXTJOIN(,,ROUND(AD6,2),"/",ROUND(AD4,2),"=")</f>
        <v>2.75/1.1=</v>
      </c>
      <c r="AA9" s="190"/>
      <c r="AB9" s="31">
        <f>+AD6/AD4</f>
        <v>2.5007694049258546</v>
      </c>
      <c r="AC9" s="2" t="str">
        <f>IF(AB9&gt;1.5,"&gt;1.5　・・・ OK","NG")</f>
        <v>&gt;1.5　・・・ OK</v>
      </c>
    </row>
    <row r="10" spans="1:50" x14ac:dyDescent="0.25">
      <c r="A10" s="2">
        <v>10</v>
      </c>
      <c r="B10" s="1"/>
      <c r="C10" s="6" t="s">
        <v>331</v>
      </c>
      <c r="D10" s="6" t="s">
        <v>332</v>
      </c>
      <c r="E10" s="219">
        <v>0</v>
      </c>
      <c r="F10" s="2" t="s">
        <v>333</v>
      </c>
      <c r="H10" s="1"/>
      <c r="I10" s="1"/>
      <c r="J10" s="1"/>
      <c r="K10" s="1"/>
      <c r="L10" s="1"/>
      <c r="M10" s="1"/>
      <c r="N10" s="1"/>
      <c r="O10" s="14">
        <f>+E6</f>
        <v>1</v>
      </c>
      <c r="P10" s="14">
        <f>+F23</f>
        <v>18</v>
      </c>
      <c r="Q10" s="14">
        <f>+F28</f>
        <v>5</v>
      </c>
      <c r="R10" s="13" t="s">
        <v>53</v>
      </c>
      <c r="S10" s="1" t="s">
        <v>54</v>
      </c>
      <c r="T10" s="1"/>
      <c r="U10" s="1"/>
      <c r="W10" s="1"/>
      <c r="AJ10" s="6" t="s">
        <v>219</v>
      </c>
      <c r="AK10" s="218" t="str">
        <f>_xlfn.TEXTJOIN(,,"1/6*",ROUND(AJ8,2),"*",AK8,"^2=")</f>
        <v>1/6*3.31*0.85^2=</v>
      </c>
      <c r="AL10" s="218"/>
      <c r="AM10" s="151">
        <f>ROUND(1/6*AJ8*AK8^2,3)</f>
        <v>0.39800000000000002</v>
      </c>
      <c r="AN10" s="2" t="s">
        <v>221</v>
      </c>
      <c r="AT10" s="6" t="s">
        <v>249</v>
      </c>
      <c r="AU10" s="218" t="str">
        <f>_xlfn.TEXTJOIN(,,"1/2*",ROUND(AU8,2),"*",AW8,"^2=")</f>
        <v>1/2*22.08*0.45^2=</v>
      </c>
      <c r="AV10" s="218"/>
      <c r="AW10" s="31">
        <f>ROUND(1/2*AU8*AW8^2,3)</f>
        <v>2.2360000000000002</v>
      </c>
      <c r="AX10" s="2" t="s">
        <v>221</v>
      </c>
    </row>
    <row r="11" spans="1:50" x14ac:dyDescent="0.25">
      <c r="A11" s="2">
        <v>11</v>
      </c>
      <c r="B11" s="1"/>
      <c r="C11" s="6" t="s">
        <v>334</v>
      </c>
      <c r="D11" s="6" t="s">
        <v>335</v>
      </c>
      <c r="E11" s="149">
        <f>E12-E10-E9</f>
        <v>0.44999999999999996</v>
      </c>
      <c r="F11" s="2" t="s">
        <v>333</v>
      </c>
      <c r="H11" s="1"/>
      <c r="I11" s="4"/>
      <c r="J11" s="1"/>
      <c r="K11" s="1"/>
      <c r="L11" s="1"/>
      <c r="M11" s="1"/>
      <c r="N11" s="1"/>
      <c r="O11" s="1" t="s">
        <v>55</v>
      </c>
      <c r="P11" s="4"/>
      <c r="Q11" s="4"/>
      <c r="R11" s="12"/>
      <c r="S11" s="1"/>
      <c r="T11" s="1"/>
      <c r="U11" s="1"/>
      <c r="V11" s="1"/>
      <c r="W11" s="1"/>
      <c r="X11" s="32" t="s">
        <v>97</v>
      </c>
      <c r="Y11" s="2" t="s">
        <v>98</v>
      </c>
      <c r="AJ11" s="6" t="s">
        <v>222</v>
      </c>
      <c r="AK11" s="218" t="str">
        <f>_xlfn.TEXTJOIN(,,"1/2*",ROUND(AJ8,2),"*",AK8,"=")</f>
        <v>1/2*3.31*0.85=</v>
      </c>
      <c r="AL11" s="218"/>
      <c r="AM11" s="31">
        <f>ROUND(0.5*AJ8*AK8,3)</f>
        <v>1.405</v>
      </c>
      <c r="AN11" s="2" t="s">
        <v>195</v>
      </c>
      <c r="AT11" s="6" t="s">
        <v>248</v>
      </c>
      <c r="AU11" s="218" t="str">
        <f>_xlfn.TEXTJOIN(,,"1/3*",ROUND(AV8,2),"*",AW8,"^2=")</f>
        <v>1/3*-18.2*0.45^2=</v>
      </c>
      <c r="AV11" s="218"/>
      <c r="AW11" s="31">
        <f>ROUND(1/3*AV8*AW8^2,3)</f>
        <v>-1.2290000000000001</v>
      </c>
      <c r="AX11" s="2" t="s">
        <v>221</v>
      </c>
    </row>
    <row r="12" spans="1:50" x14ac:dyDescent="0.25">
      <c r="A12" s="2">
        <v>12</v>
      </c>
      <c r="B12" s="1"/>
      <c r="C12" s="5" t="s">
        <v>27</v>
      </c>
      <c r="D12" s="5" t="s">
        <v>28</v>
      </c>
      <c r="E12" s="219">
        <v>0.6</v>
      </c>
      <c r="F12" s="2" t="s">
        <v>18</v>
      </c>
      <c r="H12" s="1"/>
      <c r="I12" s="1"/>
      <c r="J12" s="1"/>
      <c r="K12" s="1"/>
      <c r="L12" s="1"/>
      <c r="M12" s="4"/>
      <c r="N12" s="1"/>
      <c r="O12" s="1"/>
      <c r="P12" s="4"/>
      <c r="Q12" s="4"/>
      <c r="R12" s="12"/>
      <c r="S12" s="1"/>
      <c r="T12" s="1"/>
      <c r="U12" s="1"/>
      <c r="V12" s="1"/>
      <c r="AV12" s="6" t="s">
        <v>250</v>
      </c>
      <c r="AW12" s="31">
        <f>ROUND(SUM(AW10:AW11),2)</f>
        <v>1.01</v>
      </c>
      <c r="AX12" s="2" t="s">
        <v>221</v>
      </c>
    </row>
    <row r="13" spans="1:50" x14ac:dyDescent="0.25">
      <c r="A13" s="2">
        <v>13</v>
      </c>
      <c r="B13" s="1"/>
      <c r="C13" s="5" t="s">
        <v>20</v>
      </c>
      <c r="D13" s="6" t="s">
        <v>21</v>
      </c>
      <c r="E13" s="219">
        <v>0.15</v>
      </c>
      <c r="F13" s="2" t="s">
        <v>18</v>
      </c>
      <c r="H13" s="1"/>
      <c r="I13" s="4"/>
      <c r="J13" s="1"/>
      <c r="K13" s="1"/>
      <c r="L13" s="4"/>
      <c r="M13" s="1"/>
      <c r="N13" s="1"/>
      <c r="O13" s="1"/>
      <c r="P13" s="4"/>
      <c r="Q13" s="4"/>
      <c r="R13" s="12"/>
      <c r="S13" s="1"/>
      <c r="T13" s="1"/>
      <c r="U13" s="1"/>
      <c r="V13" s="1"/>
      <c r="X13" s="32"/>
      <c r="Y13" s="2" t="s">
        <v>210</v>
      </c>
      <c r="AI13" s="2" t="s">
        <v>224</v>
      </c>
      <c r="AT13" s="6" t="s">
        <v>251</v>
      </c>
      <c r="AU13" s="218" t="str">
        <f>_xlfn.TEXTJOIN(,,ROUND(AU8,2),"*",AW8,"=")</f>
        <v>22.08*0.45=</v>
      </c>
      <c r="AV13" s="218"/>
      <c r="AW13" s="31">
        <f>ROUND(AU8*AW8,3)</f>
        <v>9.9359999999999999</v>
      </c>
      <c r="AX13" s="2" t="s">
        <v>195</v>
      </c>
    </row>
    <row r="14" spans="1:50" x14ac:dyDescent="0.25">
      <c r="A14" s="2">
        <v>14</v>
      </c>
      <c r="B14" s="1"/>
      <c r="D14" s="7" t="s">
        <v>26</v>
      </c>
      <c r="E14" s="220">
        <v>0.3</v>
      </c>
      <c r="F14" s="2" t="s">
        <v>18</v>
      </c>
      <c r="G14" s="6"/>
      <c r="H14" s="1"/>
      <c r="I14" s="1"/>
      <c r="J14" s="4"/>
      <c r="K14" s="1"/>
      <c r="L14" s="1"/>
      <c r="M14" s="1"/>
      <c r="N14" s="1"/>
      <c r="O14" s="1"/>
      <c r="P14" s="4"/>
      <c r="Q14" s="4"/>
      <c r="R14" s="12"/>
      <c r="S14" s="1"/>
      <c r="T14" s="1"/>
      <c r="U14" s="1"/>
      <c r="Y14" s="6" t="s">
        <v>187</v>
      </c>
      <c r="Z14" s="2" t="s">
        <v>188</v>
      </c>
      <c r="AI14" s="110" t="s">
        <v>230</v>
      </c>
      <c r="AJ14" s="110" t="s">
        <v>231</v>
      </c>
      <c r="AK14" s="19" t="s">
        <v>225</v>
      </c>
      <c r="AL14" s="19" t="s">
        <v>226</v>
      </c>
      <c r="AM14" s="19" t="s">
        <v>228</v>
      </c>
      <c r="AN14" s="19" t="s">
        <v>227</v>
      </c>
      <c r="AT14" s="6" t="s">
        <v>252</v>
      </c>
      <c r="AU14" s="218" t="str">
        <f>_xlfn.TEXTJOIN(,,"1/2*",AV8,"*",AW8,"=")</f>
        <v>1/2*-18.2*0.45=</v>
      </c>
      <c r="AV14" s="218"/>
      <c r="AW14" s="31">
        <f>ROUND(1/2*AV8*AW8,3)</f>
        <v>-4.0949999999999998</v>
      </c>
      <c r="AX14" s="2" t="s">
        <v>195</v>
      </c>
    </row>
    <row r="15" spans="1:50" x14ac:dyDescent="0.25">
      <c r="A15" s="2">
        <v>15</v>
      </c>
      <c r="B15" s="1"/>
      <c r="C15" s="5" t="s">
        <v>29</v>
      </c>
      <c r="D15" s="6" t="s">
        <v>30</v>
      </c>
      <c r="E15" s="220">
        <v>0.7</v>
      </c>
      <c r="F15" s="2" t="s">
        <v>18</v>
      </c>
      <c r="H15" s="1"/>
      <c r="I15" s="3"/>
      <c r="J15" s="1"/>
      <c r="K15" s="1"/>
      <c r="L15" s="1"/>
      <c r="M15" s="1"/>
      <c r="N15" s="1"/>
      <c r="O15" s="1"/>
      <c r="P15" s="4"/>
      <c r="Q15" s="4"/>
      <c r="R15" s="12"/>
      <c r="S15" s="1"/>
      <c r="T15" s="1"/>
      <c r="U15" s="1"/>
      <c r="AA15" s="6" t="s">
        <v>91</v>
      </c>
      <c r="AB15" s="190" t="str">
        <f>_xlfn.TEXTJOIN(,,ROUND(F27,2),"*",ROUND(S37,2),"=")</f>
        <v>0.49*7.79=</v>
      </c>
      <c r="AC15" s="190"/>
      <c r="AD15" s="31">
        <f>F27+S37</f>
        <v>8.2797488807056716</v>
      </c>
      <c r="AE15" s="2" t="s">
        <v>92</v>
      </c>
      <c r="AI15" s="19">
        <f>+E49</f>
        <v>196</v>
      </c>
      <c r="AJ15" s="111">
        <f>E42</f>
        <v>0.7</v>
      </c>
      <c r="AK15" s="19">
        <f>E9*1000</f>
        <v>150</v>
      </c>
      <c r="AL15" s="19">
        <f>+AK15-AN15</f>
        <v>75</v>
      </c>
      <c r="AM15" s="109">
        <f>ROUND(AL15*7/8,2)</f>
        <v>65.63</v>
      </c>
      <c r="AN15" s="152">
        <v>75</v>
      </c>
      <c r="AV15" s="6" t="s">
        <v>253</v>
      </c>
      <c r="AW15" s="31">
        <f>ROUND(SUM(AW13:AW14),2)</f>
        <v>5.84</v>
      </c>
      <c r="AX15" s="2" t="s">
        <v>195</v>
      </c>
    </row>
    <row r="16" spans="1:50" x14ac:dyDescent="0.25">
      <c r="A16" s="2">
        <v>16</v>
      </c>
      <c r="B16" s="1"/>
      <c r="D16" s="5" t="s">
        <v>40</v>
      </c>
      <c r="E16" s="220">
        <v>0</v>
      </c>
      <c r="F16" s="2" t="s">
        <v>18</v>
      </c>
      <c r="H16" s="1"/>
      <c r="I16" s="1"/>
      <c r="J16" s="1"/>
      <c r="K16" s="1"/>
      <c r="L16" s="1"/>
      <c r="M16" s="1"/>
      <c r="N16" s="1"/>
      <c r="O16" s="5" t="s">
        <v>172</v>
      </c>
      <c r="P16" s="93">
        <f>CKAt(O19,P19,Q19,R19)</f>
        <v>0.24440948434436829</v>
      </c>
      <c r="Q16" s="4"/>
      <c r="R16" s="1"/>
      <c r="S16" s="5" t="s">
        <v>56</v>
      </c>
      <c r="T16" s="1" t="s">
        <v>57</v>
      </c>
      <c r="U16" s="1"/>
      <c r="AI16" s="2" t="s">
        <v>237</v>
      </c>
    </row>
    <row r="17" spans="2:51" x14ac:dyDescent="0.25">
      <c r="B17" s="1"/>
      <c r="H17" s="1"/>
      <c r="I17" s="1"/>
      <c r="J17" s="1"/>
      <c r="K17" s="1"/>
      <c r="L17" s="1"/>
      <c r="M17" s="1"/>
      <c r="N17" s="94"/>
      <c r="O17" s="1"/>
      <c r="P17" s="4"/>
      <c r="Q17" s="4"/>
      <c r="R17" s="1"/>
      <c r="S17" s="5" t="s">
        <v>99</v>
      </c>
      <c r="T17" s="1" t="s">
        <v>59</v>
      </c>
      <c r="U17" s="1"/>
      <c r="X17" s="11"/>
      <c r="Y17" s="1" t="s">
        <v>211</v>
      </c>
      <c r="Z17" s="1"/>
      <c r="AA17" s="1"/>
      <c r="AB17" s="1"/>
      <c r="AC17" s="1"/>
      <c r="AD17" s="1"/>
      <c r="AE17" s="1"/>
      <c r="AJ17" s="6" t="s">
        <v>235</v>
      </c>
      <c r="AK17" s="190" t="str">
        <f>_xlfn.TEXTJOIN(,,AM10*1000*1000,"/(",AI15,"*",AM15,")=")</f>
        <v>398000/(196*65.63)=</v>
      </c>
      <c r="AL17" s="190"/>
      <c r="AM17" s="190"/>
      <c r="AN17" s="108">
        <v>31.098153547133141</v>
      </c>
      <c r="AO17" s="2" t="s">
        <v>232</v>
      </c>
      <c r="AS17" s="2" t="s">
        <v>224</v>
      </c>
    </row>
    <row r="18" spans="2:51" x14ac:dyDescent="0.25">
      <c r="B18" s="1"/>
      <c r="H18" s="1"/>
      <c r="I18" s="1"/>
      <c r="J18" s="1"/>
      <c r="K18" s="1"/>
      <c r="L18" s="1"/>
      <c r="M18" s="3"/>
      <c r="N18" s="94"/>
      <c r="O18" s="14" t="s">
        <v>60</v>
      </c>
      <c r="P18" s="14" t="s">
        <v>100</v>
      </c>
      <c r="Q18" s="14" t="s">
        <v>62</v>
      </c>
      <c r="R18" s="14" t="s">
        <v>63</v>
      </c>
      <c r="S18" s="5" t="s">
        <v>64</v>
      </c>
      <c r="T18" s="1" t="s">
        <v>72</v>
      </c>
      <c r="U18" s="1"/>
      <c r="AJ18" s="117" t="s">
        <v>229</v>
      </c>
      <c r="AK18" s="150" t="s">
        <v>234</v>
      </c>
      <c r="AL18" s="6" t="s">
        <v>233</v>
      </c>
      <c r="AM18" s="108">
        <f>bar_min(AK18,1)</f>
        <v>357</v>
      </c>
      <c r="AN18" s="2" t="s">
        <v>232</v>
      </c>
      <c r="AS18" s="110" t="s">
        <v>230</v>
      </c>
      <c r="AT18" s="110" t="s">
        <v>231</v>
      </c>
      <c r="AU18" s="19" t="s">
        <v>245</v>
      </c>
      <c r="AV18" s="19" t="s">
        <v>226</v>
      </c>
      <c r="AW18" s="19" t="s">
        <v>228</v>
      </c>
      <c r="AX18" s="19" t="s">
        <v>227</v>
      </c>
    </row>
    <row r="19" spans="2:51" x14ac:dyDescent="0.25">
      <c r="B19" s="1"/>
      <c r="H19" s="1"/>
      <c r="I19" s="1"/>
      <c r="J19" s="5"/>
      <c r="K19" s="1"/>
      <c r="L19" s="3"/>
      <c r="M19" s="1"/>
      <c r="N19" s="1"/>
      <c r="O19" s="14">
        <f>+F24</f>
        <v>35</v>
      </c>
      <c r="P19" s="14">
        <v>0</v>
      </c>
      <c r="Q19" s="34">
        <f>O19/3*2</f>
        <v>23.333333333333332</v>
      </c>
      <c r="R19" s="14">
        <v>0</v>
      </c>
      <c r="U19" s="2" t="s">
        <v>103</v>
      </c>
      <c r="V19" s="1"/>
      <c r="X19" s="1"/>
      <c r="Y19" s="14" t="s">
        <v>185</v>
      </c>
      <c r="Z19" s="14" t="s">
        <v>49</v>
      </c>
      <c r="AA19" s="14" t="s">
        <v>186</v>
      </c>
      <c r="AB19" s="13" t="s">
        <v>101</v>
      </c>
      <c r="AC19" s="1" t="s">
        <v>102</v>
      </c>
      <c r="AD19" s="1"/>
      <c r="AE19" s="1"/>
      <c r="AK19" s="6" t="s">
        <v>236</v>
      </c>
      <c r="AL19" s="31">
        <f>AN17/AM18</f>
        <v>8.7109673801493384E-2</v>
      </c>
      <c r="AM19" s="2" t="str">
        <f>IF(AL19&lt;1,"・・・OK","NG")</f>
        <v>・・・OK</v>
      </c>
      <c r="AS19" s="19">
        <f>+AI15</f>
        <v>196</v>
      </c>
      <c r="AT19" s="111">
        <f>+AJ15</f>
        <v>0.7</v>
      </c>
      <c r="AU19" s="19">
        <f>+E13*1000</f>
        <v>150</v>
      </c>
      <c r="AV19" s="19">
        <f>+AU19-AX19</f>
        <v>75</v>
      </c>
      <c r="AW19" s="109">
        <f>+AV19*7/8</f>
        <v>65.625</v>
      </c>
      <c r="AX19" s="152">
        <v>75</v>
      </c>
    </row>
    <row r="20" spans="2:51" x14ac:dyDescent="0.25">
      <c r="B20" s="1" t="s">
        <v>33</v>
      </c>
      <c r="H20" s="1"/>
      <c r="I20" s="1"/>
      <c r="J20" s="1"/>
      <c r="K20" s="1"/>
      <c r="L20" s="1"/>
      <c r="M20" s="1"/>
      <c r="N20" s="1"/>
      <c r="O20" s="35">
        <f t="shared" ref="O20:P20" si="0">O19/180*PI()</f>
        <v>0.6108652381980153</v>
      </c>
      <c r="P20" s="35">
        <f t="shared" si="0"/>
        <v>0</v>
      </c>
      <c r="Q20" s="35">
        <f>Q19/180*PI()</f>
        <v>0.40724349213201022</v>
      </c>
      <c r="R20" s="35">
        <f>R19/180*PI()</f>
        <v>0</v>
      </c>
      <c r="S20" s="5" t="s">
        <v>65</v>
      </c>
      <c r="T20" s="1" t="s">
        <v>66</v>
      </c>
      <c r="U20" s="1"/>
      <c r="V20" s="1"/>
      <c r="W20" s="1"/>
      <c r="X20" s="1"/>
      <c r="Y20" s="34">
        <f>+E14</f>
        <v>0.3</v>
      </c>
      <c r="Z20" s="14">
        <f>+F25</f>
        <v>18</v>
      </c>
      <c r="AA20" s="34">
        <f>+F26</f>
        <v>25.954451150103324</v>
      </c>
      <c r="AB20" s="13" t="s">
        <v>51</v>
      </c>
      <c r="AC20" s="1" t="s">
        <v>54</v>
      </c>
      <c r="AD20" s="1"/>
      <c r="AE20" s="1"/>
      <c r="AI20" s="2" t="s">
        <v>238</v>
      </c>
      <c r="AS20" s="2" t="s">
        <v>237</v>
      </c>
    </row>
    <row r="21" spans="2:51" x14ac:dyDescent="0.25">
      <c r="B21" s="1"/>
      <c r="H21" s="1"/>
      <c r="I21" s="1"/>
      <c r="J21" s="5"/>
      <c r="K21" s="1"/>
      <c r="L21" s="1"/>
      <c r="M21" s="1"/>
      <c r="N21" s="1"/>
      <c r="O21" s="1"/>
      <c r="P21" s="1"/>
      <c r="Q21" s="1"/>
      <c r="R21" s="1"/>
      <c r="S21" s="1"/>
      <c r="T21" s="1"/>
      <c r="U21" s="1"/>
      <c r="V21" s="1"/>
      <c r="X21" s="1"/>
      <c r="AA21" s="4"/>
      <c r="AB21" s="5" t="s">
        <v>56</v>
      </c>
      <c r="AC21" s="1" t="s">
        <v>57</v>
      </c>
      <c r="AD21" s="1"/>
      <c r="AE21" s="1"/>
      <c r="AJ21" s="6" t="s">
        <v>258</v>
      </c>
      <c r="AK21" s="190" t="str">
        <f>_xlfn.TEXTJOIN(,,AM11*1000,"/(","1000","*",ROUND(AM15,1),")=")</f>
        <v>1405/(1000*65.6)=</v>
      </c>
      <c r="AL21" s="190"/>
      <c r="AM21" s="190"/>
      <c r="AN21" s="31">
        <v>2.1493902439024389E-2</v>
      </c>
      <c r="AT21" s="6" t="s">
        <v>235</v>
      </c>
      <c r="AU21" s="190" t="str">
        <f>_xlfn.TEXTJOIN(,,AW12*1000*1000,"/(",AS19,"*",AW19,")=")</f>
        <v>1010000/(196*65.625)=</v>
      </c>
      <c r="AV21" s="190"/>
      <c r="AW21" s="190"/>
      <c r="AX21" s="108">
        <v>125.94752186588921</v>
      </c>
      <c r="AY21" s="2" t="s">
        <v>232</v>
      </c>
    </row>
    <row r="22" spans="2:51" x14ac:dyDescent="0.25">
      <c r="B22" s="1"/>
      <c r="D22" s="6" t="s">
        <v>34</v>
      </c>
      <c r="E22" s="5" t="s">
        <v>14</v>
      </c>
      <c r="F22" s="9">
        <v>24</v>
      </c>
      <c r="G22" s="1" t="s">
        <v>5</v>
      </c>
      <c r="I22" s="1"/>
      <c r="J22" s="1"/>
      <c r="K22" s="1"/>
      <c r="L22" s="1"/>
      <c r="M22" s="1"/>
      <c r="N22" s="1"/>
      <c r="O22" s="5" t="s">
        <v>67</v>
      </c>
      <c r="P22" s="5"/>
      <c r="Q22" s="1"/>
      <c r="R22" s="13" t="s">
        <v>68</v>
      </c>
      <c r="S22" s="4">
        <f>ROUNDUP(0.5*P16*P10*Q7^2,2)</f>
        <v>3.5999999999999996</v>
      </c>
      <c r="T22" s="1" t="s">
        <v>69</v>
      </c>
      <c r="U22" s="1"/>
      <c r="V22" s="1"/>
      <c r="W22" s="1"/>
      <c r="Y22" s="1" t="s">
        <v>183</v>
      </c>
      <c r="Z22" s="4"/>
      <c r="AA22" s="4"/>
      <c r="AB22" s="12"/>
      <c r="AC22" s="1"/>
      <c r="AD22" s="1"/>
      <c r="AE22" s="1"/>
      <c r="AI22" s="6" t="s">
        <v>191</v>
      </c>
      <c r="AK22" s="6" t="s">
        <v>239</v>
      </c>
      <c r="AL22" s="31">
        <f>AN21/AJ15</f>
        <v>3.0705574912891987E-2</v>
      </c>
      <c r="AM22" s="2" t="str">
        <f>IF(AL22&lt;1,"・・・OK","NG")</f>
        <v>・・・OK</v>
      </c>
      <c r="AT22" s="117" t="s">
        <v>229</v>
      </c>
      <c r="AU22" s="150" t="s">
        <v>234</v>
      </c>
      <c r="AV22" s="6" t="s">
        <v>233</v>
      </c>
      <c r="AW22" s="108">
        <f>bar_min(AU22,1)</f>
        <v>357</v>
      </c>
      <c r="AX22" s="2" t="s">
        <v>232</v>
      </c>
    </row>
    <row r="23" spans="2:51" x14ac:dyDescent="0.25">
      <c r="B23" s="1"/>
      <c r="D23" s="6" t="s">
        <v>35</v>
      </c>
      <c r="E23" s="5" t="s">
        <v>4</v>
      </c>
      <c r="F23" s="9">
        <v>18</v>
      </c>
      <c r="G23" s="1" t="s">
        <v>5</v>
      </c>
      <c r="I23" s="1"/>
      <c r="J23" s="3"/>
      <c r="K23" s="1"/>
      <c r="L23" s="1"/>
      <c r="M23" s="1"/>
      <c r="R23" s="6" t="s">
        <v>175</v>
      </c>
      <c r="S23" s="31">
        <f>COS(Q20)*S22</f>
        <v>3.3055779847689859</v>
      </c>
      <c r="V23" s="1"/>
      <c r="W23" s="1"/>
      <c r="X23" s="1"/>
      <c r="Y23" s="12"/>
      <c r="Z23" s="4"/>
      <c r="AA23" s="4"/>
      <c r="AB23" s="5" t="s">
        <v>184</v>
      </c>
      <c r="AC23" s="35">
        <f>1/2*Z20*Y20^2*TAN((45+AA20/2)*PI()/180)^2</f>
        <v>2.0708014383779774</v>
      </c>
      <c r="AD23" s="1"/>
      <c r="AE23" s="1"/>
      <c r="AU23" s="6" t="s">
        <v>236</v>
      </c>
      <c r="AV23" s="31">
        <f>AX21/AW22</f>
        <v>0.35279417889604819</v>
      </c>
      <c r="AW23" s="2" t="str">
        <f>IF(AV23&lt;1,"・・・OK","NG")</f>
        <v>・・・OK</v>
      </c>
    </row>
    <row r="24" spans="2:51" x14ac:dyDescent="0.25">
      <c r="B24" s="1"/>
      <c r="D24" s="6" t="s">
        <v>36</v>
      </c>
      <c r="E24" s="5" t="s">
        <v>6</v>
      </c>
      <c r="F24" s="9">
        <v>35</v>
      </c>
      <c r="L24" s="1"/>
      <c r="M24" s="1"/>
      <c r="R24" s="6" t="s">
        <v>176</v>
      </c>
      <c r="S24" s="31">
        <f>SIN(Q20)*S22</f>
        <v>1.4258871577409642</v>
      </c>
      <c r="V24" s="1"/>
      <c r="X24" s="1"/>
      <c r="Y24" s="1"/>
      <c r="Z24" s="4"/>
      <c r="AA24" s="4"/>
      <c r="AE24" s="1"/>
      <c r="AI24" s="2" t="s">
        <v>254</v>
      </c>
      <c r="AS24" s="2" t="s">
        <v>238</v>
      </c>
    </row>
    <row r="25" spans="2:51" x14ac:dyDescent="0.25">
      <c r="B25" s="1"/>
      <c r="D25" s="6" t="s">
        <v>77</v>
      </c>
      <c r="E25" s="5" t="s">
        <v>4</v>
      </c>
      <c r="F25" s="9">
        <v>18</v>
      </c>
      <c r="G25" s="1" t="s">
        <v>5</v>
      </c>
      <c r="L25" s="1"/>
      <c r="N25" s="1"/>
      <c r="O25" s="5" t="s">
        <v>70</v>
      </c>
      <c r="Q25" s="5" t="s">
        <v>180</v>
      </c>
      <c r="R25" s="4">
        <f>ROUND(O10/3,3)</f>
        <v>0.33300000000000002</v>
      </c>
      <c r="S25" s="1"/>
      <c r="T25" s="1"/>
      <c r="U25" s="1"/>
      <c r="V25" s="1"/>
      <c r="W25" s="1"/>
      <c r="X25" s="11"/>
      <c r="Y25" s="1" t="s">
        <v>212</v>
      </c>
      <c r="Z25" s="4"/>
      <c r="AA25" s="4"/>
      <c r="AB25" s="12"/>
      <c r="AC25" s="1"/>
      <c r="AD25" s="1"/>
      <c r="AE25" s="1"/>
      <c r="AI25" s="2" t="s">
        <v>223</v>
      </c>
      <c r="AJ25" s="117"/>
      <c r="AK25" s="117"/>
      <c r="AT25" s="6" t="s">
        <v>258</v>
      </c>
      <c r="AU25" s="190" t="str">
        <f>_xlfn.TEXTJOIN(,,AW15,"/(",,AT19,"*",ROUND(AW19,1),")=")</f>
        <v>5.84/(0.7*65.6)=</v>
      </c>
      <c r="AV25" s="190"/>
      <c r="AW25" s="190"/>
      <c r="AX25" s="31">
        <f>ROUND(AW15/(AT19*AW19),3)</f>
        <v>0.127</v>
      </c>
    </row>
    <row r="26" spans="2:51" x14ac:dyDescent="0.25">
      <c r="B26" s="1"/>
      <c r="D26" s="6" t="s">
        <v>78</v>
      </c>
      <c r="E26" s="5" t="s">
        <v>6</v>
      </c>
      <c r="F26" s="100">
        <f>+J27</f>
        <v>25.954451150103324</v>
      </c>
      <c r="N26" s="1"/>
      <c r="O26" s="5"/>
      <c r="Q26" s="5"/>
      <c r="R26" s="4"/>
      <c r="S26" s="1"/>
      <c r="T26" s="1"/>
      <c r="V26" s="1"/>
      <c r="W26" s="1"/>
      <c r="Z26" s="4"/>
      <c r="AA26" s="4"/>
      <c r="AB26" s="12"/>
      <c r="AC26" s="1"/>
      <c r="AD26" s="1"/>
      <c r="AE26" s="1"/>
      <c r="AJ26" s="19" t="s">
        <v>216</v>
      </c>
      <c r="AK26" s="19" t="s">
        <v>218</v>
      </c>
      <c r="AS26" s="6" t="s">
        <v>191</v>
      </c>
      <c r="AU26" s="6" t="s">
        <v>239</v>
      </c>
      <c r="AV26" s="31">
        <f>AX25/AT19</f>
        <v>0.18142857142857144</v>
      </c>
      <c r="AW26" s="2" t="str">
        <f>IF(AV26&lt;1,"・・・OK","NG")</f>
        <v>・・・OK</v>
      </c>
    </row>
    <row r="27" spans="2:51" x14ac:dyDescent="0.25">
      <c r="B27" s="1"/>
      <c r="C27" s="1"/>
      <c r="D27" s="5" t="s">
        <v>37</v>
      </c>
      <c r="E27" s="5" t="s">
        <v>7</v>
      </c>
      <c r="F27" s="99">
        <f>TAN(K27)</f>
        <v>0.48674888070567124</v>
      </c>
      <c r="G27" s="5" t="s">
        <v>38</v>
      </c>
      <c r="H27" s="6" t="s">
        <v>80</v>
      </c>
      <c r="I27" s="17">
        <v>6</v>
      </c>
      <c r="J27" s="18">
        <f>(20*I27)^0.5+15</f>
        <v>25.954451150103324</v>
      </c>
      <c r="K27" s="15">
        <f>J27*PI()/180</f>
        <v>0.45299062811733204</v>
      </c>
      <c r="N27" s="1"/>
      <c r="O27" s="5"/>
      <c r="P27" s="1"/>
      <c r="T27" s="1"/>
      <c r="V27" s="1"/>
      <c r="W27" s="1"/>
      <c r="X27" s="1"/>
      <c r="Y27" s="5" t="s">
        <v>189</v>
      </c>
      <c r="Z27" s="2" t="s">
        <v>98</v>
      </c>
      <c r="AA27" s="4"/>
      <c r="AB27" s="5" t="s">
        <v>190</v>
      </c>
      <c r="AC27" s="96">
        <f>AD15+AC23*0.5</f>
        <v>9.3151495998946601</v>
      </c>
      <c r="AD27" s="1"/>
      <c r="AE27" s="1"/>
      <c r="AJ27" s="107">
        <f>+AJ8/AK8*AK27</f>
        <v>2.5939064892246044</v>
      </c>
      <c r="AK27" s="19">
        <f>E6-R25</f>
        <v>0.66700000000000004</v>
      </c>
    </row>
    <row r="28" spans="2:51" x14ac:dyDescent="0.25">
      <c r="B28" s="1"/>
      <c r="C28" s="1"/>
      <c r="D28" s="1" t="s">
        <v>8</v>
      </c>
      <c r="E28" s="5" t="s">
        <v>9</v>
      </c>
      <c r="F28" s="9">
        <v>5</v>
      </c>
      <c r="G28" s="1" t="s">
        <v>3</v>
      </c>
      <c r="H28" s="1"/>
      <c r="I28" s="1"/>
      <c r="J28" s="1"/>
      <c r="K28" s="1"/>
      <c r="N28" s="11" t="s">
        <v>73</v>
      </c>
      <c r="O28" s="2" t="s">
        <v>193</v>
      </c>
      <c r="T28" s="1"/>
      <c r="V28" s="1"/>
      <c r="W28" s="1"/>
      <c r="X28" s="16"/>
      <c r="Y28" s="16"/>
      <c r="Z28" s="118"/>
      <c r="AA28" s="118"/>
      <c r="AB28" s="16"/>
      <c r="AC28" s="16"/>
      <c r="AD28" s="16"/>
      <c r="AE28" s="1"/>
    </row>
    <row r="29" spans="2:51" x14ac:dyDescent="0.25">
      <c r="B29" s="1"/>
      <c r="C29" s="1"/>
      <c r="D29" s="1" t="s">
        <v>10</v>
      </c>
      <c r="E29" s="5" t="s">
        <v>11</v>
      </c>
      <c r="F29" s="9">
        <v>0</v>
      </c>
      <c r="G29" s="1" t="s">
        <v>12</v>
      </c>
      <c r="H29" s="1"/>
      <c r="I29" s="1"/>
      <c r="J29" s="1"/>
      <c r="K29" s="1"/>
      <c r="N29" s="1"/>
      <c r="O29" s="2" t="s">
        <v>96</v>
      </c>
      <c r="V29" s="1"/>
      <c r="X29" s="11"/>
      <c r="Y29" s="102" t="s">
        <v>213</v>
      </c>
      <c r="Z29" s="98"/>
      <c r="AA29" s="118"/>
      <c r="AB29" s="118"/>
      <c r="AC29" s="10"/>
      <c r="AD29" s="10"/>
      <c r="AJ29" s="6" t="s">
        <v>219</v>
      </c>
      <c r="AK29" s="218" t="str">
        <f>_xlfn.TEXTJOIN(,,"1/6*",ROUND(AJ27,2),"*",AK27,"^2=")</f>
        <v>1/6*2.59*0.667^2=</v>
      </c>
      <c r="AL29" s="218"/>
      <c r="AM29" s="151">
        <f>ROUND(1/6*AJ27*AK27^2,3)</f>
        <v>0.192</v>
      </c>
      <c r="AN29" s="2" t="s">
        <v>221</v>
      </c>
    </row>
    <row r="30" spans="2:51" x14ac:dyDescent="0.25">
      <c r="B30" s="1"/>
      <c r="C30" s="1"/>
      <c r="D30" s="1"/>
      <c r="E30" s="8" t="s">
        <v>13</v>
      </c>
      <c r="F30" s="9">
        <v>0</v>
      </c>
      <c r="G30" s="1" t="s">
        <v>12</v>
      </c>
      <c r="H30" s="1"/>
      <c r="I30" s="1"/>
      <c r="J30" s="1"/>
      <c r="K30" s="1"/>
      <c r="N30" s="1"/>
      <c r="O30" s="14" t="s">
        <v>74</v>
      </c>
      <c r="P30" s="19" t="s">
        <v>79</v>
      </c>
      <c r="Q30" s="24"/>
      <c r="R30" s="25" t="s">
        <v>84</v>
      </c>
      <c r="S30" s="26"/>
      <c r="T30" s="19" t="s">
        <v>81</v>
      </c>
      <c r="U30" s="19" t="s">
        <v>173</v>
      </c>
      <c r="V30" s="1"/>
      <c r="X30" s="16"/>
      <c r="Y30" s="16"/>
      <c r="Z30" s="118"/>
      <c r="AA30" s="118"/>
      <c r="AB30" s="118"/>
      <c r="AC30" s="97"/>
      <c r="AD30" s="16"/>
      <c r="AE30" s="1"/>
      <c r="AJ30" s="6" t="s">
        <v>222</v>
      </c>
      <c r="AK30" s="218" t="str">
        <f>_xlfn.TEXTJOIN(,,"1/2*",ROUND(AJ27,2),"*",AK27,"=")</f>
        <v>1/2*2.59*0.667=</v>
      </c>
      <c r="AL30" s="218"/>
      <c r="AM30" s="31">
        <f>ROUND(0.5*AJ27*AK27,3)</f>
        <v>0.86499999999999999</v>
      </c>
      <c r="AN30" s="2" t="s">
        <v>195</v>
      </c>
    </row>
    <row r="31" spans="2:51" x14ac:dyDescent="0.25">
      <c r="B31" s="1"/>
      <c r="C31" s="1"/>
      <c r="D31" s="1"/>
      <c r="E31" s="1"/>
      <c r="F31" s="16"/>
      <c r="G31" s="1"/>
      <c r="H31" s="1"/>
      <c r="I31" s="1"/>
      <c r="J31" s="1"/>
      <c r="K31" s="1"/>
      <c r="N31" s="1"/>
      <c r="O31" s="21" t="s">
        <v>75</v>
      </c>
      <c r="P31" s="20">
        <f>+F22</f>
        <v>24</v>
      </c>
      <c r="Q31" s="24"/>
      <c r="R31" s="25"/>
      <c r="S31" s="27" t="str">
        <f>_xlfn.TEXTJOIN(,,"(",E8,"+",E9,")/2*",E6-E13,"=")</f>
        <v>(0.15+0.15)/2*0.85=</v>
      </c>
      <c r="T31" s="19">
        <f>1/2*(E8+E9)*(E6-E13)</f>
        <v>0.1275</v>
      </c>
      <c r="U31" s="22">
        <f>+P31*T31</f>
        <v>3.06</v>
      </c>
      <c r="X31" s="16"/>
      <c r="Y31" s="6" t="s">
        <v>192</v>
      </c>
      <c r="Z31" s="190" t="str">
        <f>_xlfn.TEXTJOIN(,,ROUND(AC27,2),"/",ROUND(S23,2),"=")</f>
        <v>9.32/3.31=</v>
      </c>
      <c r="AA31" s="190"/>
      <c r="AB31" s="31">
        <f>+AC27/S22</f>
        <v>2.5875415555262946</v>
      </c>
      <c r="AC31" s="2" t="str">
        <f>IF(AB31&gt;1.5,"&gt;1.5　・・・ OK","NG")</f>
        <v>&gt;1.5　・・・ OK</v>
      </c>
      <c r="AD31" s="16"/>
      <c r="AE31" s="1"/>
    </row>
    <row r="32" spans="2:51" x14ac:dyDescent="0.25">
      <c r="B32" s="1"/>
      <c r="C32" s="1"/>
      <c r="D32" s="1" t="s">
        <v>1</v>
      </c>
      <c r="E32" s="5" t="s">
        <v>2</v>
      </c>
      <c r="F32" s="9">
        <v>30</v>
      </c>
      <c r="G32" s="1" t="s">
        <v>3</v>
      </c>
      <c r="H32" s="1"/>
      <c r="I32" s="1"/>
      <c r="J32" s="1"/>
      <c r="K32" s="1"/>
      <c r="O32" s="23" t="s">
        <v>76</v>
      </c>
      <c r="P32" s="20">
        <f>+F22</f>
        <v>24</v>
      </c>
      <c r="Q32" s="24"/>
      <c r="R32" s="25"/>
      <c r="S32" s="27" t="str">
        <f>_xlfn.TEXTJOIN(,,E12,"*",E13,"=")</f>
        <v>0.6*0.15=</v>
      </c>
      <c r="T32" s="19">
        <f>+E12*E13</f>
        <v>0.09</v>
      </c>
      <c r="U32" s="22">
        <f>+P32*T32</f>
        <v>2.16</v>
      </c>
      <c r="X32" s="16"/>
      <c r="Y32" s="118"/>
      <c r="Z32" s="118"/>
      <c r="AA32" s="100"/>
      <c r="AB32" s="16"/>
      <c r="AC32" s="10"/>
      <c r="AD32" s="10"/>
      <c r="AI32" s="2" t="s">
        <v>224</v>
      </c>
    </row>
    <row r="33" spans="2:41" x14ac:dyDescent="0.25">
      <c r="B33" s="1"/>
      <c r="C33" s="1"/>
      <c r="D33" s="1"/>
      <c r="E33" s="1"/>
      <c r="F33" s="16"/>
      <c r="G33" s="1"/>
      <c r="H33" s="1"/>
      <c r="I33" s="1"/>
      <c r="J33" s="1"/>
      <c r="K33" s="1"/>
      <c r="O33" s="21" t="s">
        <v>83</v>
      </c>
      <c r="P33" s="20">
        <v>17</v>
      </c>
      <c r="Q33" s="24"/>
      <c r="R33" s="25"/>
      <c r="S33" s="27" t="str">
        <f>_xlfn.TEXTJOIN(,,"(",E12,"-",E9,")*(",E6,"-",E14,"-",E13,")=")</f>
        <v>(0.6-0.15)*(1-0.3-0.15)=</v>
      </c>
      <c r="T33" s="19">
        <v>6.7499999999999991E-2</v>
      </c>
      <c r="U33" s="22">
        <f>+P33*T33</f>
        <v>1.1474999999999997</v>
      </c>
      <c r="X33" s="32" t="s">
        <v>196</v>
      </c>
      <c r="Y33" s="103" t="s">
        <v>197</v>
      </c>
      <c r="Z33" s="99"/>
      <c r="AA33" s="99"/>
      <c r="AB33" s="101"/>
      <c r="AC33" s="97"/>
      <c r="AD33" s="16"/>
      <c r="AE33" s="1"/>
      <c r="AI33" s="110" t="s">
        <v>230</v>
      </c>
      <c r="AJ33" s="110" t="s">
        <v>231</v>
      </c>
      <c r="AK33" s="19" t="s">
        <v>225</v>
      </c>
      <c r="AL33" s="19" t="s">
        <v>226</v>
      </c>
      <c r="AM33" s="19" t="s">
        <v>228</v>
      </c>
      <c r="AN33" s="19" t="s">
        <v>227</v>
      </c>
    </row>
    <row r="34" spans="2:41" x14ac:dyDescent="0.25">
      <c r="B34" s="1" t="s">
        <v>39</v>
      </c>
      <c r="C34" s="1"/>
      <c r="D34" s="1"/>
      <c r="E34" s="1"/>
      <c r="F34" s="16"/>
      <c r="G34" s="1"/>
      <c r="H34" s="1"/>
      <c r="I34" s="1"/>
      <c r="J34" s="1"/>
      <c r="K34" s="1"/>
      <c r="O34" s="21" t="s">
        <v>32</v>
      </c>
      <c r="P34" s="33">
        <f>+F29</f>
        <v>0</v>
      </c>
      <c r="Q34" s="24"/>
      <c r="R34" s="25"/>
      <c r="S34" s="27"/>
      <c r="T34" s="19">
        <v>0</v>
      </c>
      <c r="U34" s="22">
        <f>+P34*T34</f>
        <v>0</v>
      </c>
      <c r="X34" s="16"/>
      <c r="Y34" s="16"/>
      <c r="Z34" s="16"/>
      <c r="AA34" s="16"/>
      <c r="AB34" s="118"/>
      <c r="AC34" s="16"/>
      <c r="AD34" s="16"/>
      <c r="AE34" s="1"/>
      <c r="AI34" s="19">
        <f>+E49</f>
        <v>196</v>
      </c>
      <c r="AJ34" s="111">
        <f>+E42</f>
        <v>0.7</v>
      </c>
      <c r="AK34" s="19">
        <f>+E9*1000</f>
        <v>150</v>
      </c>
      <c r="AL34" s="19">
        <f>+AK34-AN34</f>
        <v>75</v>
      </c>
      <c r="AM34" s="109">
        <f>+AL34*7/8</f>
        <v>65.625</v>
      </c>
      <c r="AN34" s="19">
        <v>75</v>
      </c>
    </row>
    <row r="35" spans="2:41" x14ac:dyDescent="0.25">
      <c r="B35" s="87" t="s">
        <v>214</v>
      </c>
      <c r="C35" s="90"/>
      <c r="D35" s="88"/>
      <c r="E35" s="91"/>
      <c r="F35" s="91"/>
      <c r="G35" s="91"/>
      <c r="H35" s="91"/>
      <c r="I35" s="91"/>
      <c r="J35" s="91"/>
      <c r="K35" s="91"/>
      <c r="O35" s="21" t="s">
        <v>31</v>
      </c>
      <c r="P35" s="33">
        <f>+F30</f>
        <v>0</v>
      </c>
      <c r="Q35" s="24"/>
      <c r="R35" s="25"/>
      <c r="S35" s="27"/>
      <c r="T35" s="19">
        <v>0</v>
      </c>
      <c r="U35" s="22">
        <f>+P35*T35</f>
        <v>0</v>
      </c>
      <c r="V35" s="10"/>
      <c r="X35" s="16"/>
      <c r="Y35" s="102" t="s">
        <v>198</v>
      </c>
      <c r="AA35" s="16" t="s">
        <v>199</v>
      </c>
      <c r="AB35" s="210" t="str">
        <f>_xlfn.TEXTJOIN(,,E12,"/2-",ROUND(S50,2),"=")</f>
        <v>0.6/2-0.43=</v>
      </c>
      <c r="AC35" s="210"/>
      <c r="AD35" s="223">
        <v>-7.0000000000000007E-2</v>
      </c>
      <c r="AE35" s="1"/>
      <c r="AI35" s="2" t="s">
        <v>237</v>
      </c>
    </row>
    <row r="36" spans="2:41" x14ac:dyDescent="0.25">
      <c r="B36" s="199" t="s">
        <v>104</v>
      </c>
      <c r="C36" s="199" t="s">
        <v>123</v>
      </c>
      <c r="D36" s="211" t="s">
        <v>167</v>
      </c>
      <c r="E36" s="212"/>
      <c r="F36" s="212"/>
      <c r="G36" s="212"/>
      <c r="H36" s="211" t="s">
        <v>168</v>
      </c>
      <c r="I36" s="212"/>
      <c r="J36" s="215"/>
      <c r="K36" s="217" t="s">
        <v>105</v>
      </c>
      <c r="T36" s="6" t="s">
        <v>174</v>
      </c>
      <c r="U36" s="95">
        <f>SUM(U31:U35)</f>
        <v>6.3675000000000006</v>
      </c>
      <c r="V36" s="28"/>
      <c r="X36" s="16"/>
      <c r="Y36" s="97"/>
      <c r="Z36" s="10"/>
      <c r="AA36" s="97" t="s">
        <v>200</v>
      </c>
      <c r="AB36" s="104">
        <f>ABS(E12/AD35)</f>
        <v>8.5714285714285712</v>
      </c>
      <c r="AC36" s="16" t="s">
        <v>204</v>
      </c>
      <c r="AD36" s="16"/>
      <c r="AE36" s="1"/>
      <c r="AJ36" s="6" t="s">
        <v>235</v>
      </c>
      <c r="AK36" s="190" t="str">
        <f>_xlfn.TEXTJOIN(,,AM29*1000*1000,"/(",AI34,"*",AM34,")=")</f>
        <v>192000/(196*65.625)=</v>
      </c>
      <c r="AL36" s="190"/>
      <c r="AM36" s="190"/>
      <c r="AN36" s="108">
        <v>14.77162293488824</v>
      </c>
      <c r="AO36" s="2" t="s">
        <v>232</v>
      </c>
    </row>
    <row r="37" spans="2:41" ht="14.25" customHeight="1" x14ac:dyDescent="0.25">
      <c r="B37" s="200"/>
      <c r="C37" s="200"/>
      <c r="D37" s="213"/>
      <c r="E37" s="214"/>
      <c r="F37" s="214"/>
      <c r="G37" s="214"/>
      <c r="H37" s="213"/>
      <c r="I37" s="214"/>
      <c r="J37" s="216"/>
      <c r="K37" s="217"/>
      <c r="P37" s="6" t="s">
        <v>194</v>
      </c>
      <c r="Q37" s="190" t="str">
        <f>_xlfn.TEXTJOIN(,,ROUND(U36,2),"+",ROUND(S24,2),"=")</f>
        <v>6.37+1.43=</v>
      </c>
      <c r="R37" s="190"/>
      <c r="S37" s="95">
        <f>ROUND(U36+S24,3)</f>
        <v>7.7930000000000001</v>
      </c>
      <c r="T37" s="2" t="s">
        <v>195</v>
      </c>
      <c r="V37" s="28"/>
      <c r="X37" s="1"/>
      <c r="Y37" s="5"/>
      <c r="AA37" s="5"/>
      <c r="AB37" s="36"/>
      <c r="AC37" s="1"/>
      <c r="AD37" s="1"/>
      <c r="AJ37" s="117" t="s">
        <v>229</v>
      </c>
      <c r="AK37" s="150" t="s">
        <v>336</v>
      </c>
      <c r="AL37" s="6" t="s">
        <v>233</v>
      </c>
      <c r="AM37" s="108">
        <f>bar_min(AK37,1)</f>
        <v>357</v>
      </c>
      <c r="AN37" s="2" t="s">
        <v>232</v>
      </c>
    </row>
    <row r="38" spans="2:41" x14ac:dyDescent="0.4">
      <c r="B38" s="200"/>
      <c r="C38" s="200"/>
      <c r="D38" s="199" t="s">
        <v>126</v>
      </c>
      <c r="E38" s="205" t="s">
        <v>127</v>
      </c>
      <c r="F38" s="208" t="s">
        <v>128</v>
      </c>
      <c r="G38" s="209"/>
      <c r="H38" s="188" t="s">
        <v>126</v>
      </c>
      <c r="I38" s="188" t="s">
        <v>127</v>
      </c>
      <c r="J38" s="186" t="s">
        <v>128</v>
      </c>
      <c r="K38" s="217"/>
      <c r="V38" s="28"/>
      <c r="Z38" s="6" t="s">
        <v>205</v>
      </c>
      <c r="AA38" s="190" t="str">
        <f>_xlfn.TEXTJOIN(,,"1+6*",ABS(AD35),"/",E12,"=")</f>
        <v>1+6*0.07/0.6=</v>
      </c>
      <c r="AB38" s="190"/>
      <c r="AC38" s="95">
        <f>1+6*AD35/E12</f>
        <v>0.29999999999999993</v>
      </c>
      <c r="AK38" s="6" t="s">
        <v>236</v>
      </c>
      <c r="AL38" s="31">
        <f>AN36/AM37</f>
        <v>4.1377095055709356E-2</v>
      </c>
      <c r="AM38" s="2" t="str">
        <f>IF(AL38&lt;1,"・・・OK","NG")</f>
        <v>・・・OK</v>
      </c>
    </row>
    <row r="39" spans="2:41" x14ac:dyDescent="0.4">
      <c r="B39" s="200"/>
      <c r="C39" s="200"/>
      <c r="D39" s="200"/>
      <c r="E39" s="206"/>
      <c r="F39" s="205" t="s">
        <v>129</v>
      </c>
      <c r="G39" s="199" t="s">
        <v>130</v>
      </c>
      <c r="H39" s="191"/>
      <c r="I39" s="191"/>
      <c r="J39" s="198"/>
      <c r="K39" s="217"/>
      <c r="O39" s="2" t="s">
        <v>177</v>
      </c>
      <c r="V39" s="10"/>
      <c r="Z39" s="6" t="s">
        <v>206</v>
      </c>
      <c r="AA39" s="190" t="str">
        <f>_xlfn.TEXTJOIN(,,"1-6*",ABS(AD35),"/",E12,"=")</f>
        <v>1-6*0.07/0.6=</v>
      </c>
      <c r="AB39" s="190"/>
      <c r="AC39" s="95">
        <f>1-6*AD35/E12</f>
        <v>1.7000000000000002</v>
      </c>
      <c r="AI39" s="2" t="s">
        <v>238</v>
      </c>
    </row>
    <row r="40" spans="2:41" ht="14.25" customHeight="1" x14ac:dyDescent="0.25">
      <c r="B40" s="201"/>
      <c r="C40" s="201"/>
      <c r="D40" s="201"/>
      <c r="E40" s="207"/>
      <c r="F40" s="207"/>
      <c r="G40" s="201"/>
      <c r="H40" s="189"/>
      <c r="I40" s="189"/>
      <c r="J40" s="187"/>
      <c r="K40" s="217"/>
      <c r="O40" s="14" t="s">
        <v>74</v>
      </c>
      <c r="P40" s="19" t="s">
        <v>82</v>
      </c>
      <c r="Q40" s="29"/>
      <c r="R40" s="25"/>
      <c r="S40" s="26" t="s">
        <v>84</v>
      </c>
      <c r="T40" s="20" t="s">
        <v>85</v>
      </c>
      <c r="U40" s="19" t="s">
        <v>86</v>
      </c>
      <c r="V40" s="10"/>
      <c r="AA40" s="190"/>
      <c r="AB40" s="190"/>
      <c r="AC40" s="95"/>
      <c r="AJ40" s="6" t="s">
        <v>258</v>
      </c>
      <c r="AK40" s="190" t="str">
        <f>_xlfn.TEXTJOIN(,,AM30*1000,"/(","1000","*",ROUND(AM34,1),")=")</f>
        <v>865/(1000*65.6)=</v>
      </c>
      <c r="AL40" s="190"/>
      <c r="AM40" s="190"/>
      <c r="AN40" s="31">
        <v>1.3109756097560975E-2</v>
      </c>
    </row>
    <row r="41" spans="2:41" x14ac:dyDescent="0.4">
      <c r="B41" s="112" t="s">
        <v>106</v>
      </c>
      <c r="C41" s="112" t="s">
        <v>131</v>
      </c>
      <c r="D41" s="113">
        <v>6</v>
      </c>
      <c r="E41" s="114">
        <v>0.6</v>
      </c>
      <c r="F41" s="114">
        <v>0.72</v>
      </c>
      <c r="G41" s="114">
        <v>0.9</v>
      </c>
      <c r="H41" s="199" t="s">
        <v>132</v>
      </c>
      <c r="I41" s="199" t="s">
        <v>133</v>
      </c>
      <c r="J41" s="199" t="s">
        <v>133</v>
      </c>
      <c r="K41" s="202"/>
      <c r="O41" s="21" t="s">
        <v>75</v>
      </c>
      <c r="P41" s="22">
        <f>+U31</f>
        <v>3.06</v>
      </c>
      <c r="Q41" s="30"/>
      <c r="R41" s="25"/>
      <c r="S41" s="27" t="str">
        <f>_xlfn.TEXTJOIN(,,E12,"-",E8,"/2=")</f>
        <v>0.6-0.15/2=</v>
      </c>
      <c r="T41" s="21">
        <f>+E12-E9/2</f>
        <v>0.52500000000000002</v>
      </c>
      <c r="U41" s="19">
        <f>ROUND(P41*T41,3)</f>
        <v>1.607</v>
      </c>
      <c r="Z41" s="2" t="s">
        <v>207</v>
      </c>
      <c r="AA41" s="190" t="str">
        <f>_xlfn.TEXTJOIN(,,S37,"/",E12,"=")</f>
        <v>7.793/0.6=</v>
      </c>
      <c r="AB41" s="190"/>
      <c r="AC41" s="95">
        <f>+S37/E12</f>
        <v>12.988333333333333</v>
      </c>
      <c r="AI41" s="6" t="s">
        <v>191</v>
      </c>
      <c r="AK41" s="6" t="s">
        <v>239</v>
      </c>
      <c r="AL41" s="31">
        <f>AN40/AJ34</f>
        <v>1.8728222996515678E-2</v>
      </c>
      <c r="AM41" s="2" t="str">
        <f>IF(AL41&lt;1,"・・・OK","NG")</f>
        <v>・・・OK</v>
      </c>
    </row>
    <row r="42" spans="2:41" ht="14.25" customHeight="1" x14ac:dyDescent="0.25">
      <c r="B42" s="112"/>
      <c r="C42" s="112" t="s">
        <v>134</v>
      </c>
      <c r="D42" s="113">
        <v>7</v>
      </c>
      <c r="E42" s="114">
        <v>0.7</v>
      </c>
      <c r="F42" s="114">
        <v>0.76</v>
      </c>
      <c r="G42" s="114">
        <v>0.95</v>
      </c>
      <c r="H42" s="200"/>
      <c r="I42" s="200"/>
      <c r="J42" s="200"/>
      <c r="K42" s="203"/>
      <c r="O42" s="23" t="s">
        <v>76</v>
      </c>
      <c r="P42" s="22">
        <f>+U32</f>
        <v>2.16</v>
      </c>
      <c r="Q42" s="30"/>
      <c r="R42" s="25"/>
      <c r="S42" s="27" t="str">
        <f>_xlfn.TEXTJOIN(,,E12,"/2=")</f>
        <v>0.6/2=</v>
      </c>
      <c r="T42" s="21">
        <f>+E12/2</f>
        <v>0.3</v>
      </c>
      <c r="U42" s="19">
        <f>+P42*T42</f>
        <v>0.64800000000000002</v>
      </c>
      <c r="AB42" s="31"/>
    </row>
    <row r="43" spans="2:41" x14ac:dyDescent="0.4">
      <c r="B43" s="112"/>
      <c r="C43" s="112" t="s">
        <v>135</v>
      </c>
      <c r="D43" s="113">
        <v>8</v>
      </c>
      <c r="E43" s="114">
        <v>0.74</v>
      </c>
      <c r="F43" s="114">
        <v>0.8</v>
      </c>
      <c r="G43" s="114">
        <v>1</v>
      </c>
      <c r="H43" s="201"/>
      <c r="I43" s="201"/>
      <c r="J43" s="201"/>
      <c r="K43" s="204"/>
      <c r="O43" s="21" t="s">
        <v>83</v>
      </c>
      <c r="P43" s="22">
        <f>+U33</f>
        <v>1.1474999999999997</v>
      </c>
      <c r="Q43" s="30"/>
      <c r="R43" s="25"/>
      <c r="S43" s="27" t="str">
        <f>_xlfn.TEXTJOIN(,,"(",E12,"-",E8,")/2=")</f>
        <v>(0.6-0.15)/2=</v>
      </c>
      <c r="T43" s="21">
        <v>0.22499999999999998</v>
      </c>
      <c r="U43" s="19">
        <f>ROUND(P43*T43,3)</f>
        <v>0.25800000000000001</v>
      </c>
    </row>
    <row r="44" spans="2:41" x14ac:dyDescent="0.25">
      <c r="B44" s="87" t="s">
        <v>215</v>
      </c>
      <c r="C44" s="90"/>
      <c r="D44" s="89"/>
      <c r="E44" s="92"/>
      <c r="F44" s="89"/>
      <c r="G44" s="89"/>
      <c r="H44" s="89"/>
      <c r="I44" s="89"/>
      <c r="J44" s="89"/>
      <c r="K44" s="89"/>
      <c r="O44" s="21" t="s">
        <v>32</v>
      </c>
      <c r="P44" s="20">
        <f>+F29</f>
        <v>0</v>
      </c>
      <c r="Q44" s="24"/>
      <c r="R44" s="25"/>
      <c r="S44" s="26"/>
      <c r="T44" s="20">
        <f>+T41</f>
        <v>0.52500000000000002</v>
      </c>
      <c r="U44" s="19">
        <f>+P44*T44</f>
        <v>0</v>
      </c>
      <c r="Z44" s="6" t="s">
        <v>208</v>
      </c>
      <c r="AA44" s="18">
        <f>AC38*AC41</f>
        <v>3.8964999999999992</v>
      </c>
      <c r="AB44" s="2" t="str">
        <f>IF(AA44&lt;F32,_xlfn.TEXTJOIN(,,"&lt;lqa=",F32," ・・・OK"),"NG")</f>
        <v>&lt;lqa=30 ・・・OK</v>
      </c>
    </row>
    <row r="45" spans="2:41" x14ac:dyDescent="0.4">
      <c r="B45" s="188" t="s">
        <v>104</v>
      </c>
      <c r="C45" s="188" t="s">
        <v>123</v>
      </c>
      <c r="D45" s="192" t="s">
        <v>169</v>
      </c>
      <c r="E45" s="193"/>
      <c r="F45" s="194"/>
      <c r="G45" s="192" t="s">
        <v>170</v>
      </c>
      <c r="H45" s="193"/>
      <c r="I45" s="194"/>
      <c r="J45" s="186" t="s">
        <v>171</v>
      </c>
      <c r="K45" s="186" t="s">
        <v>105</v>
      </c>
      <c r="O45" s="21" t="s">
        <v>31</v>
      </c>
      <c r="P45" s="20">
        <f>F30</f>
        <v>0</v>
      </c>
      <c r="Q45" s="24"/>
      <c r="R45" s="25"/>
      <c r="S45" s="26"/>
      <c r="T45" s="20">
        <f>+E16</f>
        <v>0</v>
      </c>
      <c r="U45" s="19">
        <f>+P45*T45</f>
        <v>0</v>
      </c>
      <c r="Z45" s="6" t="s">
        <v>209</v>
      </c>
      <c r="AA45" s="18">
        <f>+AC39*AC41</f>
        <v>22.08016666666667</v>
      </c>
      <c r="AB45" s="2" t="str">
        <f>IF(AA45&lt;F32,_xlfn.TEXTJOIN(,,"&lt;lqa=",F32," ・・・OK"),"NG")</f>
        <v>&lt;lqa=30 ・・・OK</v>
      </c>
    </row>
    <row r="46" spans="2:41" x14ac:dyDescent="0.4">
      <c r="B46" s="191"/>
      <c r="C46" s="191"/>
      <c r="D46" s="195"/>
      <c r="E46" s="196"/>
      <c r="F46" s="197"/>
      <c r="G46" s="195"/>
      <c r="H46" s="196"/>
      <c r="I46" s="197"/>
      <c r="J46" s="198"/>
      <c r="K46" s="198"/>
      <c r="T46" s="6" t="s">
        <v>201</v>
      </c>
      <c r="U46" s="151">
        <f>SUM(U41:U45)</f>
        <v>2.5129999999999999</v>
      </c>
    </row>
    <row r="47" spans="2:41" ht="14.25" customHeight="1" x14ac:dyDescent="0.4">
      <c r="B47" s="191"/>
      <c r="C47" s="191"/>
      <c r="D47" s="186" t="s">
        <v>126</v>
      </c>
      <c r="E47" s="186" t="s">
        <v>143</v>
      </c>
      <c r="F47" s="188" t="s">
        <v>127</v>
      </c>
      <c r="G47" s="186" t="s">
        <v>126</v>
      </c>
      <c r="H47" s="186" t="s">
        <v>143</v>
      </c>
      <c r="I47" s="188" t="s">
        <v>127</v>
      </c>
      <c r="J47" s="198"/>
      <c r="K47" s="198"/>
      <c r="P47" s="6" t="s">
        <v>202</v>
      </c>
      <c r="Q47" s="190" t="str">
        <f>_xlfn.TEXTJOIN(,,ROUND(S24,2),"*",E12,"=")</f>
        <v>1.43*0.6=</v>
      </c>
      <c r="R47" s="190"/>
      <c r="S47" s="17">
        <f>ROUND(S24*E12,3)</f>
        <v>0.85599999999999998</v>
      </c>
    </row>
    <row r="48" spans="2:41" x14ac:dyDescent="0.4">
      <c r="B48" s="189"/>
      <c r="C48" s="189"/>
      <c r="D48" s="187"/>
      <c r="E48" s="187"/>
      <c r="F48" s="189"/>
      <c r="G48" s="187"/>
      <c r="H48" s="187"/>
      <c r="I48" s="189"/>
      <c r="J48" s="187"/>
      <c r="K48" s="187"/>
      <c r="P48" s="6" t="s">
        <v>203</v>
      </c>
      <c r="Q48" s="190" t="str">
        <f>_xlfn.TEXTJOIN(,,ROUND(U46,2),"+",S47,"=")</f>
        <v>2.51+0.856=</v>
      </c>
      <c r="R48" s="190"/>
      <c r="S48" s="222">
        <f>ROUND(S47+U46,3)</f>
        <v>3.3690000000000002</v>
      </c>
    </row>
    <row r="49" spans="2:20" x14ac:dyDescent="0.4">
      <c r="B49" s="112" t="s">
        <v>106</v>
      </c>
      <c r="C49" s="112" t="s">
        <v>109</v>
      </c>
      <c r="D49" s="115">
        <v>196</v>
      </c>
      <c r="E49" s="115">
        <v>196</v>
      </c>
      <c r="F49" s="115">
        <v>195</v>
      </c>
      <c r="G49" s="115">
        <v>295</v>
      </c>
      <c r="H49" s="115">
        <v>295</v>
      </c>
      <c r="I49" s="116">
        <v>295</v>
      </c>
      <c r="J49" s="116">
        <v>295</v>
      </c>
      <c r="K49" s="105"/>
    </row>
    <row r="50" spans="2:20" x14ac:dyDescent="0.4">
      <c r="B50" s="112" t="s">
        <v>107</v>
      </c>
      <c r="C50" s="112" t="s">
        <v>110</v>
      </c>
      <c r="D50" s="115">
        <v>215</v>
      </c>
      <c r="E50" s="115">
        <v>215</v>
      </c>
      <c r="F50" s="115">
        <v>195</v>
      </c>
      <c r="G50" s="115">
        <v>345</v>
      </c>
      <c r="H50" s="115">
        <v>345</v>
      </c>
      <c r="I50" s="116">
        <v>345</v>
      </c>
      <c r="J50" s="116">
        <v>345</v>
      </c>
      <c r="K50" s="106"/>
      <c r="P50" s="6" t="s">
        <v>88</v>
      </c>
      <c r="R50" s="6" t="s">
        <v>87</v>
      </c>
      <c r="S50" s="31">
        <f>S48/S37</f>
        <v>0.43231104837674839</v>
      </c>
      <c r="T50" s="2" t="s">
        <v>90</v>
      </c>
    </row>
    <row r="51" spans="2:20" x14ac:dyDescent="0.25">
      <c r="B51" s="1"/>
      <c r="C51" s="1"/>
      <c r="D51" s="1"/>
      <c r="H51" s="1"/>
      <c r="I51" s="1"/>
      <c r="J51" s="1"/>
      <c r="K51" s="1"/>
    </row>
  </sheetData>
  <mergeCells count="57">
    <mergeCell ref="AU10:AV10"/>
    <mergeCell ref="AB4:AC4"/>
    <mergeCell ref="AB5:AC5"/>
    <mergeCell ref="AB6:AC6"/>
    <mergeCell ref="Z9:AA9"/>
    <mergeCell ref="AK10:AL10"/>
    <mergeCell ref="Z31:AA31"/>
    <mergeCell ref="AK11:AL11"/>
    <mergeCell ref="AU11:AV11"/>
    <mergeCell ref="AU13:AV13"/>
    <mergeCell ref="AU14:AV14"/>
    <mergeCell ref="AB15:AC15"/>
    <mergeCell ref="AK17:AM17"/>
    <mergeCell ref="AK21:AM21"/>
    <mergeCell ref="AU21:AW21"/>
    <mergeCell ref="AU25:AW25"/>
    <mergeCell ref="AK29:AL29"/>
    <mergeCell ref="AK30:AL30"/>
    <mergeCell ref="AB35:AC35"/>
    <mergeCell ref="B36:B40"/>
    <mergeCell ref="C36:C40"/>
    <mergeCell ref="D36:G37"/>
    <mergeCell ref="H36:J37"/>
    <mergeCell ref="K36:K40"/>
    <mergeCell ref="G39:G40"/>
    <mergeCell ref="AA39:AB39"/>
    <mergeCell ref="AA40:AB40"/>
    <mergeCell ref="AK36:AM36"/>
    <mergeCell ref="Q37:R37"/>
    <mergeCell ref="D38:D40"/>
    <mergeCell ref="E38:E40"/>
    <mergeCell ref="F38:G38"/>
    <mergeCell ref="H38:H40"/>
    <mergeCell ref="I38:I40"/>
    <mergeCell ref="J38:J40"/>
    <mergeCell ref="AA38:AB38"/>
    <mergeCell ref="F39:F40"/>
    <mergeCell ref="AK40:AM40"/>
    <mergeCell ref="H41:H43"/>
    <mergeCell ref="I41:I43"/>
    <mergeCell ref="J41:J43"/>
    <mergeCell ref="K41:K43"/>
    <mergeCell ref="AA41:AB41"/>
    <mergeCell ref="H47:H48"/>
    <mergeCell ref="I47:I48"/>
    <mergeCell ref="Q47:R47"/>
    <mergeCell ref="Q48:R48"/>
    <mergeCell ref="B45:B48"/>
    <mergeCell ref="C45:C48"/>
    <mergeCell ref="D45:F46"/>
    <mergeCell ref="G45:I46"/>
    <mergeCell ref="J45:J48"/>
    <mergeCell ref="K45:K48"/>
    <mergeCell ref="D47:D48"/>
    <mergeCell ref="E47:E48"/>
    <mergeCell ref="F47:F48"/>
    <mergeCell ref="G47:G48"/>
  </mergeCells>
  <phoneticPr fontId="9"/>
  <dataValidations disablePrompts="1" count="1">
    <dataValidation type="list" allowBlank="1" showInputMessage="1" showErrorMessage="1" sqref="B41:B43 B49:B50" xr:uid="{E616AD09-6580-4E0A-AF98-72B86C663937}">
      <formula1>"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drgyakuL" altText="">
                <anchor moveWithCells="1" sizeWithCells="1">
                  <from>
                    <xdr:col>9</xdr:col>
                    <xdr:colOff>9525</xdr:colOff>
                    <xdr:row>2</xdr:row>
                    <xdr:rowOff>47625</xdr:rowOff>
                  </from>
                  <to>
                    <xdr:col>9</xdr:col>
                    <xdr:colOff>542925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CDE9-F935-4C2A-AC8E-A52C6068055C}">
  <sheetPr codeName="Sheet4"/>
  <dimension ref="B2:S49"/>
  <sheetViews>
    <sheetView zoomScaleNormal="100" workbookViewId="0">
      <selection activeCell="G21" sqref="G21"/>
    </sheetView>
  </sheetViews>
  <sheetFormatPr defaultRowHeight="14.25" x14ac:dyDescent="0.4"/>
  <cols>
    <col min="1" max="1" width="2.625" style="120" customWidth="1"/>
    <col min="2" max="9" width="8.625" style="120" customWidth="1"/>
    <col min="10" max="10" width="6.25" style="120" customWidth="1"/>
    <col min="11" max="11" width="2.625" style="120" customWidth="1"/>
    <col min="12" max="16384" width="9" style="120"/>
  </cols>
  <sheetData>
    <row r="2" spans="2:19" x14ac:dyDescent="0.4">
      <c r="B2" s="120" t="s">
        <v>313</v>
      </c>
    </row>
    <row r="4" spans="2:19" x14ac:dyDescent="0.4">
      <c r="L4" s="121" t="s">
        <v>312</v>
      </c>
      <c r="M4" s="120" t="s">
        <v>311</v>
      </c>
      <c r="N4" s="122" t="s">
        <v>310</v>
      </c>
      <c r="O4" s="120" t="str">
        <f>IF(P4="S","砂質土","粘性土")</f>
        <v>砂質土</v>
      </c>
      <c r="P4" s="123" t="s">
        <v>274</v>
      </c>
      <c r="Q4" s="122" t="s">
        <v>309</v>
      </c>
      <c r="R4" s="123">
        <v>6</v>
      </c>
    </row>
    <row r="5" spans="2:19" x14ac:dyDescent="0.4">
      <c r="L5" s="121" t="s">
        <v>308</v>
      </c>
      <c r="M5" s="120" t="s">
        <v>307</v>
      </c>
      <c r="N5" s="124"/>
      <c r="O5" s="122" t="s">
        <v>306</v>
      </c>
      <c r="P5" s="125">
        <f>IF(P4="S",SQRT(20*R4)+15,0)</f>
        <v>25.954451150103324</v>
      </c>
      <c r="R5" s="122" t="s">
        <v>305</v>
      </c>
      <c r="S5" s="126">
        <v>0</v>
      </c>
    </row>
    <row r="6" spans="2:19" x14ac:dyDescent="0.4">
      <c r="L6" s="121" t="s">
        <v>304</v>
      </c>
      <c r="M6" s="120" t="s">
        <v>303</v>
      </c>
      <c r="P6" s="120" t="s">
        <v>285</v>
      </c>
    </row>
    <row r="7" spans="2:19" x14ac:dyDescent="0.4">
      <c r="L7" s="121" t="s">
        <v>302</v>
      </c>
      <c r="M7" s="120" t="s">
        <v>301</v>
      </c>
      <c r="P7" s="120" t="s">
        <v>285</v>
      </c>
    </row>
    <row r="8" spans="2:19" x14ac:dyDescent="0.4">
      <c r="L8" s="121" t="s">
        <v>99</v>
      </c>
      <c r="M8" s="120" t="s">
        <v>300</v>
      </c>
    </row>
    <row r="9" spans="2:19" x14ac:dyDescent="0.4">
      <c r="L9" s="121" t="s">
        <v>65</v>
      </c>
      <c r="M9" s="120" t="s">
        <v>299</v>
      </c>
    </row>
    <row r="10" spans="2:19" ht="15.75" x14ac:dyDescent="0.4">
      <c r="L10" s="121" t="s">
        <v>298</v>
      </c>
      <c r="M10" s="120" t="s">
        <v>297</v>
      </c>
      <c r="P10" s="120" t="s">
        <v>314</v>
      </c>
      <c r="Q10" s="127" t="s">
        <v>296</v>
      </c>
      <c r="R10" s="127" t="s">
        <v>295</v>
      </c>
    </row>
    <row r="11" spans="2:19" x14ac:dyDescent="0.4">
      <c r="L11" s="121" t="s">
        <v>315</v>
      </c>
      <c r="M11" s="120" t="s">
        <v>294</v>
      </c>
    </row>
    <row r="12" spans="2:19" ht="15.75" x14ac:dyDescent="0.4">
      <c r="M12" s="120" t="s">
        <v>316</v>
      </c>
      <c r="P12" s="120" t="s">
        <v>317</v>
      </c>
    </row>
    <row r="13" spans="2:19" x14ac:dyDescent="0.4">
      <c r="L13" s="121" t="s">
        <v>58</v>
      </c>
      <c r="M13" s="120" t="s">
        <v>293</v>
      </c>
    </row>
    <row r="14" spans="2:19" x14ac:dyDescent="0.4">
      <c r="M14" s="121" t="s">
        <v>292</v>
      </c>
      <c r="N14" s="120" t="s">
        <v>291</v>
      </c>
    </row>
    <row r="16" spans="2:19" x14ac:dyDescent="0.4">
      <c r="L16" s="128"/>
      <c r="M16" s="129"/>
      <c r="N16" s="130" t="s">
        <v>290</v>
      </c>
      <c r="O16" s="130" t="s">
        <v>289</v>
      </c>
      <c r="P16" s="130" t="s">
        <v>263</v>
      </c>
      <c r="Q16" s="131"/>
      <c r="R16" s="124"/>
      <c r="S16" s="124"/>
    </row>
    <row r="17" spans="10:19" x14ac:dyDescent="0.4">
      <c r="L17" s="132" t="str">
        <f t="shared" ref="L17:L26" si="0">IF(F$37&gt;=M17,IF(F$37&lt;M18,F$37,""),"")</f>
        <v/>
      </c>
      <c r="M17" s="129">
        <v>0</v>
      </c>
      <c r="N17" s="133">
        <v>5.0999999999999996</v>
      </c>
      <c r="O17" s="133">
        <v>0</v>
      </c>
      <c r="P17" s="133">
        <v>1</v>
      </c>
      <c r="Q17" s="134"/>
      <c r="R17" s="135"/>
      <c r="S17" s="135"/>
    </row>
    <row r="18" spans="10:19" x14ac:dyDescent="0.4">
      <c r="L18" s="132" t="str">
        <f t="shared" si="0"/>
        <v/>
      </c>
      <c r="M18" s="129">
        <v>5</v>
      </c>
      <c r="N18" s="133">
        <v>6.5</v>
      </c>
      <c r="O18" s="133">
        <v>0.1</v>
      </c>
      <c r="P18" s="133">
        <v>1.6</v>
      </c>
      <c r="Q18" s="134"/>
      <c r="R18" s="135"/>
      <c r="S18" s="135"/>
    </row>
    <row r="19" spans="10:19" x14ac:dyDescent="0.4">
      <c r="L19" s="132" t="str">
        <f t="shared" si="0"/>
        <v/>
      </c>
      <c r="M19" s="129">
        <v>10</v>
      </c>
      <c r="N19" s="133">
        <v>8.3000000000000007</v>
      </c>
      <c r="O19" s="133">
        <v>0.4</v>
      </c>
      <c r="P19" s="133">
        <v>2.5</v>
      </c>
      <c r="Q19" s="134"/>
      <c r="R19" s="135"/>
      <c r="S19" s="135"/>
    </row>
    <row r="20" spans="10:19" x14ac:dyDescent="0.4">
      <c r="L20" s="132" t="str">
        <f t="shared" si="0"/>
        <v/>
      </c>
      <c r="M20" s="129">
        <v>15</v>
      </c>
      <c r="N20" s="133">
        <v>11</v>
      </c>
      <c r="O20" s="133">
        <v>1.1000000000000001</v>
      </c>
      <c r="P20" s="133">
        <v>3.9</v>
      </c>
      <c r="Q20" s="134"/>
      <c r="R20" s="135"/>
      <c r="S20" s="135"/>
    </row>
    <row r="21" spans="10:19" x14ac:dyDescent="0.4">
      <c r="L21" s="132" t="str">
        <f t="shared" si="0"/>
        <v/>
      </c>
      <c r="M21" s="129">
        <v>20</v>
      </c>
      <c r="N21" s="133">
        <v>14.8</v>
      </c>
      <c r="O21" s="133">
        <v>2.9</v>
      </c>
      <c r="P21" s="133">
        <v>6.4</v>
      </c>
      <c r="Q21" s="134"/>
      <c r="R21" s="135"/>
      <c r="S21" s="135"/>
    </row>
    <row r="22" spans="10:19" x14ac:dyDescent="0.4">
      <c r="L22" s="136">
        <f t="shared" si="0"/>
        <v>25.954451150103324</v>
      </c>
      <c r="M22" s="129">
        <v>25</v>
      </c>
      <c r="N22" s="133">
        <v>20.7</v>
      </c>
      <c r="O22" s="133">
        <v>6.8</v>
      </c>
      <c r="P22" s="133">
        <v>10.7</v>
      </c>
      <c r="Q22" s="134"/>
      <c r="R22" s="135"/>
      <c r="S22" s="135"/>
    </row>
    <row r="23" spans="10:19" x14ac:dyDescent="0.4">
      <c r="L23" s="132" t="str">
        <f t="shared" si="0"/>
        <v/>
      </c>
      <c r="M23" s="129">
        <v>28</v>
      </c>
      <c r="N23" s="133">
        <v>25.8</v>
      </c>
      <c r="O23" s="133">
        <v>11.2</v>
      </c>
      <c r="P23" s="133">
        <v>14.7</v>
      </c>
      <c r="Q23" s="134"/>
      <c r="R23" s="135"/>
      <c r="S23" s="135"/>
    </row>
    <row r="24" spans="10:19" x14ac:dyDescent="0.4">
      <c r="L24" s="132" t="str">
        <f t="shared" si="0"/>
        <v/>
      </c>
      <c r="M24" s="129">
        <v>32</v>
      </c>
      <c r="N24" s="133">
        <v>35.5</v>
      </c>
      <c r="O24" s="133">
        <v>22</v>
      </c>
      <c r="P24" s="133">
        <v>23.2</v>
      </c>
      <c r="Q24" s="134"/>
      <c r="R24" s="135"/>
      <c r="S24" s="135"/>
    </row>
    <row r="25" spans="10:19" x14ac:dyDescent="0.4">
      <c r="L25" s="132" t="str">
        <f t="shared" si="0"/>
        <v/>
      </c>
      <c r="M25" s="129">
        <v>36</v>
      </c>
      <c r="N25" s="133">
        <v>50.6</v>
      </c>
      <c r="O25" s="133">
        <v>44.4</v>
      </c>
      <c r="P25" s="133">
        <v>37.799999999999997</v>
      </c>
      <c r="Q25" s="134"/>
      <c r="R25" s="135"/>
      <c r="S25" s="135"/>
    </row>
    <row r="26" spans="10:19" x14ac:dyDescent="0.4">
      <c r="L26" s="132" t="str">
        <f t="shared" si="0"/>
        <v/>
      </c>
      <c r="M26" s="129">
        <v>40</v>
      </c>
      <c r="N26" s="133">
        <v>75.3</v>
      </c>
      <c r="O26" s="133">
        <v>93.7</v>
      </c>
      <c r="P26" s="133">
        <v>64.2</v>
      </c>
      <c r="Q26" s="134"/>
      <c r="R26" s="135"/>
      <c r="S26" s="135"/>
    </row>
    <row r="27" spans="10:19" ht="15.75" x14ac:dyDescent="0.4">
      <c r="L27" s="122" t="s">
        <v>318</v>
      </c>
      <c r="M27" s="124" t="s">
        <v>288</v>
      </c>
      <c r="N27" s="124"/>
      <c r="O27" s="124"/>
      <c r="P27" s="124"/>
      <c r="Q27" s="124"/>
      <c r="R27" s="124"/>
      <c r="S27" s="124" t="s">
        <v>329</v>
      </c>
    </row>
    <row r="28" spans="10:19" ht="15.75" x14ac:dyDescent="0.4">
      <c r="L28" s="121" t="s">
        <v>319</v>
      </c>
      <c r="M28" s="120" t="s">
        <v>287</v>
      </c>
      <c r="S28" s="120" t="s">
        <v>328</v>
      </c>
    </row>
    <row r="29" spans="10:19" x14ac:dyDescent="0.4">
      <c r="J29" s="137"/>
      <c r="L29" s="121" t="s">
        <v>101</v>
      </c>
      <c r="M29" s="120" t="s">
        <v>286</v>
      </c>
      <c r="R29" s="120" t="s">
        <v>285</v>
      </c>
    </row>
    <row r="30" spans="10:19" x14ac:dyDescent="0.4">
      <c r="L30" s="121" t="s">
        <v>284</v>
      </c>
      <c r="M30" s="120" t="s">
        <v>283</v>
      </c>
      <c r="N30" s="121" t="s">
        <v>282</v>
      </c>
      <c r="O30" s="120" t="s">
        <v>320</v>
      </c>
      <c r="P30" s="121" t="s">
        <v>281</v>
      </c>
      <c r="Q30" s="120" t="s">
        <v>321</v>
      </c>
    </row>
    <row r="31" spans="10:19" ht="15.75" x14ac:dyDescent="0.4">
      <c r="L31" s="121" t="s">
        <v>280</v>
      </c>
      <c r="M31" s="120" t="s">
        <v>279</v>
      </c>
      <c r="P31" s="120" t="s">
        <v>314</v>
      </c>
    </row>
    <row r="32" spans="10:19" x14ac:dyDescent="0.4">
      <c r="P32" s="120" t="s">
        <v>322</v>
      </c>
    </row>
    <row r="33" spans="3:16" ht="15.75" x14ac:dyDescent="0.4">
      <c r="L33" s="121" t="s">
        <v>278</v>
      </c>
      <c r="M33" s="120" t="s">
        <v>277</v>
      </c>
      <c r="P33" s="120" t="s">
        <v>314</v>
      </c>
    </row>
    <row r="34" spans="3:16" x14ac:dyDescent="0.4">
      <c r="P34" s="120" t="s">
        <v>330</v>
      </c>
    </row>
    <row r="36" spans="3:16" x14ac:dyDescent="0.4">
      <c r="C36" s="138" t="s">
        <v>276</v>
      </c>
      <c r="D36" s="138" t="s">
        <v>327</v>
      </c>
      <c r="E36" s="138" t="s">
        <v>273</v>
      </c>
      <c r="F36" s="138" t="s">
        <v>60</v>
      </c>
      <c r="G36" s="138" t="s">
        <v>271</v>
      </c>
    </row>
    <row r="37" spans="3:16" x14ac:dyDescent="0.4">
      <c r="C37" s="138" t="s">
        <v>275</v>
      </c>
      <c r="D37" s="140" t="str">
        <f>+P4</f>
        <v>S</v>
      </c>
      <c r="E37" s="141">
        <v>6</v>
      </c>
      <c r="F37" s="143">
        <f>IF(D37="S",SQRT(20*E37)+15,0)</f>
        <v>25.954451150103324</v>
      </c>
      <c r="G37" s="143">
        <f>IF(D37="S",0,12.5*E37)</f>
        <v>0</v>
      </c>
    </row>
    <row r="38" spans="3:16" x14ac:dyDescent="0.4">
      <c r="D38" s="138" t="s">
        <v>267</v>
      </c>
      <c r="E38" s="138" t="s">
        <v>272</v>
      </c>
      <c r="F38" s="146" t="s">
        <v>326</v>
      </c>
      <c r="G38" s="146" t="s">
        <v>61</v>
      </c>
    </row>
    <row r="39" spans="3:16" x14ac:dyDescent="0.4">
      <c r="D39" s="142">
        <v>1.5</v>
      </c>
      <c r="E39" s="142">
        <v>10</v>
      </c>
      <c r="F39" s="142">
        <v>0</v>
      </c>
      <c r="G39" s="143">
        <f>DEGREES(ATAN(F39))</f>
        <v>0</v>
      </c>
    </row>
    <row r="41" spans="3:16" x14ac:dyDescent="0.4">
      <c r="D41" s="138" t="s">
        <v>270</v>
      </c>
      <c r="E41" s="138" t="s">
        <v>100</v>
      </c>
      <c r="F41" s="139"/>
      <c r="G41" s="138" t="s">
        <v>295</v>
      </c>
      <c r="H41" s="138" t="s">
        <v>269</v>
      </c>
      <c r="I41" s="138" t="s">
        <v>268</v>
      </c>
    </row>
    <row r="42" spans="3:16" x14ac:dyDescent="0.4">
      <c r="D42" s="143">
        <f>(1-G39/90)^2</f>
        <v>1</v>
      </c>
      <c r="E42" s="143">
        <f>1+0.2*D39/E39</f>
        <v>1.03</v>
      </c>
      <c r="F42" s="139"/>
      <c r="G42" s="143">
        <f>G37/2</f>
        <v>0</v>
      </c>
      <c r="H42" s="119" t="e">
        <v>#NAME?</v>
      </c>
      <c r="I42" s="143" t="e">
        <f>E42*G42*H42</f>
        <v>#NAME?</v>
      </c>
    </row>
    <row r="43" spans="3:16" x14ac:dyDescent="0.4">
      <c r="D43" s="138" t="s">
        <v>323</v>
      </c>
      <c r="E43" s="138" t="s">
        <v>63</v>
      </c>
      <c r="F43" s="138" t="s">
        <v>324</v>
      </c>
      <c r="G43" s="138" t="s">
        <v>267</v>
      </c>
      <c r="H43" s="138" t="s">
        <v>266</v>
      </c>
      <c r="I43" s="138" t="s">
        <v>265</v>
      </c>
    </row>
    <row r="44" spans="3:16" x14ac:dyDescent="0.4">
      <c r="D44" s="143">
        <f>IF(G39=0,1,IF(F37=0,1,(1-G39/F37)^2))</f>
        <v>1</v>
      </c>
      <c r="E44" s="143">
        <f>0.5-0.2*D39/E39</f>
        <v>0.47</v>
      </c>
      <c r="F44" s="142">
        <v>7</v>
      </c>
      <c r="G44" s="143">
        <f>D39</f>
        <v>1.5</v>
      </c>
      <c r="H44" s="119" t="e">
        <v>#NAME?</v>
      </c>
      <c r="I44" s="143" t="e">
        <f>D44*E44*F44*G44*H44</f>
        <v>#NAME?</v>
      </c>
    </row>
    <row r="45" spans="3:16" x14ac:dyDescent="0.4">
      <c r="D45" s="138" t="s">
        <v>264</v>
      </c>
      <c r="E45" s="139"/>
      <c r="F45" s="138" t="s">
        <v>325</v>
      </c>
      <c r="G45" s="138" t="s">
        <v>185</v>
      </c>
      <c r="H45" s="138" t="s">
        <v>263</v>
      </c>
      <c r="I45" s="138" t="s">
        <v>262</v>
      </c>
    </row>
    <row r="46" spans="3:16" x14ac:dyDescent="0.4">
      <c r="D46" s="143">
        <f>+D42</f>
        <v>1</v>
      </c>
      <c r="E46" s="139"/>
      <c r="F46" s="142">
        <v>17</v>
      </c>
      <c r="G46" s="142">
        <v>0.5</v>
      </c>
      <c r="H46" s="119" t="e">
        <v>#NAME?</v>
      </c>
      <c r="I46" s="143" t="e">
        <f>F46*G46*H46</f>
        <v>#NAME?</v>
      </c>
    </row>
    <row r="47" spans="3:16" x14ac:dyDescent="0.4">
      <c r="H47" s="146" t="s">
        <v>261</v>
      </c>
      <c r="I47" s="147" t="e">
        <f>I46+I44+I42</f>
        <v>#NAME?</v>
      </c>
    </row>
    <row r="48" spans="3:16" x14ac:dyDescent="0.4">
      <c r="F48" s="145"/>
      <c r="G48" s="145"/>
      <c r="H48" s="138" t="s">
        <v>260</v>
      </c>
      <c r="I48" s="144" t="e">
        <f>I47/3</f>
        <v>#NAME?</v>
      </c>
    </row>
    <row r="49" spans="6:9" x14ac:dyDescent="0.4">
      <c r="F49" s="145"/>
      <c r="G49" s="145"/>
      <c r="H49" s="138" t="s">
        <v>259</v>
      </c>
      <c r="I49" s="144" t="e">
        <f>I48*2</f>
        <v>#NAME?</v>
      </c>
    </row>
  </sheetData>
  <phoneticPr fontId="9"/>
  <pageMargins left="0.7" right="0.7" top="0.75" bottom="0.75" header="0.3" footer="0.3"/>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許応力（１）</vt:lpstr>
      <vt:lpstr>Sheet1 (3)</vt:lpstr>
      <vt:lpstr>地耐力 (2)</vt:lpstr>
      <vt:lpstr>'許応力（１）'!Print_Area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2019-12-03T00:32:50Z</cp:lastPrinted>
  <dcterms:created xsi:type="dcterms:W3CDTF">2019-11-25T00:36:38Z</dcterms:created>
  <dcterms:modified xsi:type="dcterms:W3CDTF">2020-09-16T04:56:52Z</dcterms:modified>
</cp:coreProperties>
</file>