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ipi\github\excel_foudation\"/>
    </mc:Choice>
  </mc:AlternateContent>
  <xr:revisionPtr revIDLastSave="0" documentId="13_ncr:1_{DB187F15-DF45-4869-9DB7-D9AF90060FD9}" xr6:coauthVersionLast="45" xr6:coauthVersionMax="45" xr10:uidLastSave="{00000000-0000-0000-0000-000000000000}"/>
  <bookViews>
    <workbookView xWindow="-120" yWindow="-120" windowWidth="20730" windowHeight="11160" xr2:uid="{FE712974-A990-474E-9082-08B877A1FB98}"/>
  </bookViews>
  <sheets>
    <sheet name="input _pile" sheetId="9" r:id="rId1"/>
    <sheet name="input" sheetId="4" r:id="rId2"/>
    <sheet name="直接基礎" sheetId="7" r:id="rId3"/>
    <sheet name="二層地盤 " sheetId="8" r:id="rId4"/>
  </sheets>
  <functionGroups builtInGroupCount="19"/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9" l="1"/>
  <c r="F9" i="9"/>
  <c r="F10" i="9" s="1"/>
  <c r="F11" i="9" s="1"/>
  <c r="F12" i="9" s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7" i="9"/>
  <c r="F6" i="9"/>
  <c r="L16" i="4"/>
  <c r="F24" i="7"/>
  <c r="D29" i="8"/>
  <c r="D31" i="8" s="1"/>
  <c r="D26" i="8"/>
  <c r="D25" i="8"/>
  <c r="D27" i="8" s="1"/>
  <c r="D33" i="8" s="1"/>
  <c r="H24" i="8"/>
  <c r="G24" i="8"/>
  <c r="H23" i="8"/>
  <c r="G23" i="8"/>
  <c r="H22" i="8"/>
  <c r="G22" i="8"/>
  <c r="H21" i="8"/>
  <c r="G21" i="8"/>
  <c r="H20" i="8"/>
  <c r="G20" i="8"/>
  <c r="K18" i="8"/>
  <c r="K17" i="8"/>
  <c r="K8" i="8"/>
  <c r="K7" i="8"/>
  <c r="H34" i="7"/>
  <c r="I34" i="7" s="1"/>
  <c r="J34" i="7" s="1"/>
  <c r="H33" i="7"/>
  <c r="I33" i="7" s="1"/>
  <c r="J33" i="7" s="1"/>
  <c r="F25" i="7"/>
  <c r="K19" i="7"/>
  <c r="K18" i="7"/>
  <c r="K8" i="7"/>
  <c r="K7" i="7"/>
  <c r="K34" i="7" s="1"/>
  <c r="D20" i="8" a="1"/>
  <c r="K15" i="8"/>
  <c r="K14" i="8"/>
  <c r="K15" i="7"/>
  <c r="K14" i="7"/>
  <c r="K13" i="7"/>
  <c r="C20" i="7" a="1"/>
  <c r="K13" i="8"/>
  <c r="G39" i="7" l="1"/>
  <c r="D20" i="8"/>
  <c r="C20" i="7"/>
  <c r="G37" i="8"/>
  <c r="I37" i="8"/>
  <c r="E37" i="8"/>
  <c r="I39" i="7"/>
  <c r="E39" i="7"/>
  <c r="G43" i="7"/>
  <c r="I43" i="7"/>
  <c r="E43" i="7"/>
  <c r="K33" i="7"/>
  <c r="K37" i="8" l="1"/>
  <c r="K39" i="7"/>
  <c r="K43" i="7"/>
  <c r="B3" i="4"/>
  <c r="K40" i="8" l="1"/>
  <c r="G45" i="8" s="1"/>
  <c r="G43" i="8"/>
  <c r="F6" i="4" l="1"/>
  <c r="F7" i="4"/>
  <c r="F5" i="4"/>
  <c r="F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<sst xmlns="http://schemas.openxmlformats.org/spreadsheetml/2006/main" count="192" uniqueCount="120">
  <si>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</si>
  <si>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</si>
  <si>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</si>
  <si>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</si>
  <si>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</si>
  <si>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</si>
  <si>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</si>
  <si>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</si>
  <si>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</si>
  <si>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</si>
  <si>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</si>
  <si>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</si>
  <si>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</si>
  <si>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</si>
  <si>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</si>
  <si>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</si>
  <si>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</si>
  <si>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</si>
  <si>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</si>
  <si>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</si>
  <si>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</si>
  <si>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</si>
  <si>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</si>
  <si>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</si>
  <si>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</si>
  <si>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</si>
  <si>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</si>
  <si>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</si>
  <si>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</si>
  <si>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</si>
  <si>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</si>
  <si>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</si>
  <si>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</si>
  <si>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</si>
  <si>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</si>
  <si>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</si>
  <si>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</si>
  <si>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</si>
  <si>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</si>
  <si>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</si>
  <si>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</si>
  <si>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</si>
  <si>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</si>
  <si>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</si>
  <si>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</si>
  <si>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</si>
  <si>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</si>
  <si>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</si>
  <si>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</si>
  <si>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</si>
  <si>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</si>
  <si>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</si>
  <si>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</si>
  <si>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</si>
  <si>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</si>
  <si>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</si>
  <si>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</si>
  <si>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</si>
  <si>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</si>
  <si>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</si>
  <si>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</si>
  <si>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</si>
  <si>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</si>
  <si>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層数</t>
    <rPh sb="0" eb="1">
      <t>ソウ</t>
    </rPh>
    <rPh sb="1" eb="2">
      <t>スウ</t>
    </rPh>
    <phoneticPr fontId="2"/>
  </si>
  <si>
    <t>sqa=2*lqa=</t>
    <phoneticPr fontId="2"/>
  </si>
  <si>
    <t>H=</t>
    <phoneticPr fontId="2"/>
  </si>
  <si>
    <t>p=</t>
    <phoneticPr fontId="2"/>
  </si>
  <si>
    <t>γ=</t>
    <phoneticPr fontId="2"/>
  </si>
  <si>
    <t>γ＊Df=</t>
    <phoneticPr fontId="2"/>
  </si>
  <si>
    <t>WL</t>
    <phoneticPr fontId="2"/>
  </si>
  <si>
    <t>γ＊H=</t>
    <phoneticPr fontId="2"/>
  </si>
  <si>
    <t>B'=B+H-df=</t>
    <phoneticPr fontId="2"/>
  </si>
  <si>
    <t>L'=L+H-df=</t>
    <phoneticPr fontId="2"/>
  </si>
  <si>
    <t>B*L/(B'*L')=</t>
    <phoneticPr fontId="2"/>
  </si>
  <si>
    <t>P'=</t>
    <phoneticPr fontId="2"/>
  </si>
  <si>
    <t>B*L/{(B+H-Df)*(L+H-Df)}*(P-Γ*Df)+Γ*H</t>
    <phoneticPr fontId="2"/>
  </si>
  <si>
    <t>長期</t>
    <rPh sb="0" eb="2">
      <t>チョウキ</t>
    </rPh>
    <phoneticPr fontId="2"/>
  </si>
  <si>
    <t>短期</t>
    <rPh sb="0" eb="2">
      <t>タンキ</t>
    </rPh>
    <phoneticPr fontId="2"/>
  </si>
  <si>
    <t>P'/lqa=</t>
    <phoneticPr fontId="2"/>
  </si>
  <si>
    <t>2*P'/sqa=</t>
    <phoneticPr fontId="2"/>
  </si>
  <si>
    <t>(3)判定</t>
    <rPh sb="3" eb="5">
      <t>ハンテイ</t>
    </rPh>
    <phoneticPr fontId="2"/>
  </si>
  <si>
    <t>(1)長期，地盤の許容応力度</t>
    <rPh sb="3" eb="5">
      <t>チョウキ</t>
    </rPh>
    <phoneticPr fontId="4"/>
  </si>
  <si>
    <t>(2)短期期，地盤の許容応力度</t>
    <rPh sb="3" eb="5">
      <t>タンキ</t>
    </rPh>
    <rPh sb="5" eb="6">
      <t>キ</t>
    </rPh>
    <phoneticPr fontId="4"/>
  </si>
  <si>
    <t>土平均単位体積重量</t>
    <rPh sb="0" eb="1">
      <t>ツチ</t>
    </rPh>
    <rPh sb="1" eb="3">
      <t>ヘイキン</t>
    </rPh>
    <rPh sb="3" eb="5">
      <t>タンイ</t>
    </rPh>
    <rPh sb="5" eb="7">
      <t>タイセキ</t>
    </rPh>
    <rPh sb="7" eb="9">
      <t>ジュウリョウ</t>
    </rPh>
    <phoneticPr fontId="3"/>
  </si>
  <si>
    <t>二層地盤面下</t>
    <rPh sb="0" eb="2">
      <t>ニソウ</t>
    </rPh>
    <rPh sb="2" eb="4">
      <t>ジバン</t>
    </rPh>
    <rPh sb="4" eb="5">
      <t>メン</t>
    </rPh>
    <rPh sb="5" eb="6">
      <t>カ</t>
    </rPh>
    <phoneticPr fontId="3"/>
  </si>
  <si>
    <t>二層地盤面上</t>
    <rPh sb="0" eb="2">
      <t>ニソウ</t>
    </rPh>
    <rPh sb="2" eb="4">
      <t>ジバン</t>
    </rPh>
    <rPh sb="4" eb="5">
      <t>メン</t>
    </rPh>
    <rPh sb="5" eb="6">
      <t>ウエ</t>
    </rPh>
    <phoneticPr fontId="3"/>
  </si>
  <si>
    <t>二層地盤の検討</t>
    <rPh sb="0" eb="2">
      <t>ニソウ</t>
    </rPh>
    <rPh sb="2" eb="4">
      <t>ジバン</t>
    </rPh>
    <rPh sb="5" eb="7">
      <t>ケントウ</t>
    </rPh>
    <phoneticPr fontId="2"/>
  </si>
  <si>
    <t>mm</t>
    <phoneticPr fontId="2"/>
  </si>
  <si>
    <t>kN/m2</t>
    <phoneticPr fontId="2"/>
  </si>
  <si>
    <t>kN/m3</t>
  </si>
  <si>
    <t>df</t>
    <phoneticPr fontId="2"/>
  </si>
  <si>
    <t>層深さ</t>
    <rPh sb="0" eb="1">
      <t>ソウ</t>
    </rPh>
    <rPh sb="1" eb="2">
      <t>フカ</t>
    </rPh>
    <phoneticPr fontId="2"/>
  </si>
  <si>
    <t>土質</t>
    <rPh sb="0" eb="2">
      <t>ドシツ</t>
    </rPh>
    <phoneticPr fontId="2"/>
  </si>
  <si>
    <t>Γ１</t>
    <phoneticPr fontId="2"/>
  </si>
  <si>
    <t>Γ２</t>
  </si>
  <si>
    <t>単位</t>
    <rPh sb="0" eb="2">
      <t>タンイ</t>
    </rPh>
    <phoneticPr fontId="2"/>
  </si>
  <si>
    <t>体積重量</t>
    <rPh sb="0" eb="4">
      <t>タイセキジュウリョウ</t>
    </rPh>
    <phoneticPr fontId="2"/>
  </si>
  <si>
    <t>ｗ＊ｔ</t>
    <phoneticPr fontId="2"/>
  </si>
  <si>
    <t>N値</t>
    <rPh sb="1" eb="2">
      <t>チ</t>
    </rPh>
    <phoneticPr fontId="2"/>
  </si>
  <si>
    <t>杭天</t>
    <rPh sb="0" eb="1">
      <t>クイ</t>
    </rPh>
    <rPh sb="1" eb="2">
      <t>テン</t>
    </rPh>
    <phoneticPr fontId="2"/>
  </si>
  <si>
    <t>杭長</t>
    <rPh sb="0" eb="1">
      <t>クイ</t>
    </rPh>
    <rPh sb="1" eb="2">
      <t>チョウ</t>
    </rPh>
    <phoneticPr fontId="2"/>
  </si>
  <si>
    <t>杭径</t>
    <rPh sb="0" eb="2">
      <t>クイケイ</t>
    </rPh>
    <phoneticPr fontId="2"/>
  </si>
  <si>
    <t>up 4d</t>
    <phoneticPr fontId="2"/>
  </si>
  <si>
    <t>杭先端</t>
    <rPh sb="0" eb="1">
      <t>クイ</t>
    </rPh>
    <rPh sb="1" eb="3">
      <t>センタン</t>
    </rPh>
    <phoneticPr fontId="2"/>
  </si>
  <si>
    <t>down_1d</t>
    <phoneticPr fontId="2"/>
  </si>
  <si>
    <t>先端dep</t>
    <rPh sb="0" eb="2">
      <t>センタン</t>
    </rPh>
    <phoneticPr fontId="2"/>
  </si>
  <si>
    <t>N</t>
    <phoneticPr fontId="2"/>
  </si>
  <si>
    <t>4d_dep</t>
    <phoneticPr fontId="2"/>
  </si>
  <si>
    <t>N</t>
    <phoneticPr fontId="2"/>
  </si>
  <si>
    <t>dd_dep</t>
    <phoneticPr fontId="2"/>
  </si>
  <si>
    <t>tip</t>
    <phoneticPr fontId="2"/>
  </si>
  <si>
    <t>Ave_N</t>
    <phoneticPr fontId="2"/>
  </si>
  <si>
    <t>t*N</t>
    <phoneticPr fontId="2"/>
  </si>
  <si>
    <t>nece</t>
    <phoneticPr fontId="2"/>
  </si>
  <si>
    <t>-</t>
    <phoneticPr fontId="2"/>
  </si>
  <si>
    <t>埋め土</t>
    <phoneticPr fontId="2"/>
  </si>
  <si>
    <t>Df</t>
    <phoneticPr fontId="2"/>
  </si>
  <si>
    <t>砂</t>
    <phoneticPr fontId="2"/>
  </si>
  <si>
    <t>WL</t>
    <phoneticPr fontId="2"/>
  </si>
  <si>
    <t>粘土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</si>
</sst>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.0"/>
    <numFmt numFmtId="178" formatCode="0.00_ "/>
    <numFmt numFmtId="179" formatCode="0.000_ "/>
    <numFmt numFmtId="180" formatCode="&quot;ft=&quot;0.0_ "/>
    <numFmt numFmtId="181" formatCode="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56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  <xf numFmtId="176" fontId="6" fillId="0" borderId="0" xfId="1" applyNumberFormat="1" applyFont="1" applyFill="1" applyAlignment="1">
      <alignment horizontal="right"/>
    </xf>
    <xf numFmtId="0" fontId="8" fillId="0" borderId="0" xfId="0" applyFont="1" applyAlignment="1">
      <alignment horizontal="right" vertical="center"/>
    </xf>
    <xf numFmtId="181" fontId="6" fillId="0" borderId="0" xfId="1" applyNumberFormat="1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177" fontId="11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181" fontId="8" fillId="0" borderId="0" xfId="0" applyNumberFormat="1" applyFont="1" applyAlignment="1">
      <alignment horizontal="center" vertical="center"/>
    </xf>
    <xf numFmtId="181" fontId="6" fillId="0" borderId="0" xfId="1" applyNumberFormat="1" applyFont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2" fontId="6" fillId="0" borderId="0" xfId="1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>
      <alignment vertic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562" name="line01">
          <a:extLst>
            <a:ext uri="{FF2B5EF4-FFF2-40B4-BE49-F238E27FC236}">
              <a16:creationId xmlns:a16="http://schemas.microsoft.com/office/drawing/2014/main" id="{7EF603AC-54DA-4C10-905D-F97104E894C1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563" name="textbox01">
          <a:extLst>
            <a:ext uri="{FF2B5EF4-FFF2-40B4-BE49-F238E27FC236}">
              <a16:creationId xmlns:a16="http://schemas.microsoft.com/office/drawing/2014/main" id="{850973AC-4242-4761-A519-0EF514C3EDCD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564" name="line01">
          <a:extLst>
            <a:ext uri="{FF2B5EF4-FFF2-40B4-BE49-F238E27FC236}">
              <a16:creationId xmlns:a16="http://schemas.microsoft.com/office/drawing/2014/main" id="{8918121F-1AAA-4A8E-9011-53A310315222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216477</xdr:colOff>
      <xdr:row>2</xdr:row>
      <xdr:rowOff>73025</xdr:rowOff>
    </xdr:from>
    <xdr:to>
      <xdr:col>3</xdr:col>
      <xdr:colOff>216477</xdr:colOff>
      <xdr:row>16</xdr:row>
      <xdr:rowOff>190500</xdr:rowOff>
    </xdr:to>
    <xdr:cxnSp macro="">
      <xdr:nvCxnSpPr>
        <xdr:cNvPr id="1565" name="line01">
          <a:extLst>
            <a:ext uri="{FF2B5EF4-FFF2-40B4-BE49-F238E27FC236}">
              <a16:creationId xmlns:a16="http://schemas.microsoft.com/office/drawing/2014/main" id="{BB6710C4-C862-4C86-BAA8-2ADAB82126E5}"/>
            </a:ext>
          </a:extLst>
        </xdr:cNvPr>
        <xdr:cNvCxnSpPr/>
      </xdr:nvCxnSpPr>
      <xdr:spPr>
        <a:xfrm flipV="1">
          <a:off x="1730952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566" name="line01">
          <a:extLst>
            <a:ext uri="{FF2B5EF4-FFF2-40B4-BE49-F238E27FC236}">
              <a16:creationId xmlns:a16="http://schemas.microsoft.com/office/drawing/2014/main" id="{39BFEEC2-C151-42B0-A959-E187B89A682C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11</xdr:row>
      <xdr:rowOff>172749</xdr:rowOff>
    </xdr:from>
    <xdr:to>
      <xdr:col>5</xdr:col>
      <xdr:colOff>342900</xdr:colOff>
      <xdr:row>11</xdr:row>
      <xdr:rowOff>172749</xdr:rowOff>
    </xdr:to>
    <xdr:cxnSp macro="">
      <xdr:nvCxnSpPr>
        <xdr:cNvPr id="1567" name="line01">
          <a:extLst>
            <a:ext uri="{FF2B5EF4-FFF2-40B4-BE49-F238E27FC236}">
              <a16:creationId xmlns:a16="http://schemas.microsoft.com/office/drawing/2014/main" id="{4BC7C53C-E3C7-43C5-9A8B-18D67A61E59F}"/>
            </a:ext>
          </a:extLst>
        </xdr:cNvPr>
        <xdr:cNvCxnSpPr/>
      </xdr:nvCxnSpPr>
      <xdr:spPr>
        <a:xfrm>
          <a:off x="294986" y="2373024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1568" name="line02">
          <a:extLst>
            <a:ext uri="{FF2B5EF4-FFF2-40B4-BE49-F238E27FC236}">
              <a16:creationId xmlns:a16="http://schemas.microsoft.com/office/drawing/2014/main" id="{ADD825BF-EA67-4A9A-9C80-2D0A7B52DA03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1569" name="line02">
          <a:extLst>
            <a:ext uri="{FF2B5EF4-FFF2-40B4-BE49-F238E27FC236}">
              <a16:creationId xmlns:a16="http://schemas.microsoft.com/office/drawing/2014/main" id="{B165B18F-4FB3-4705-AD0D-72E2E007CEB5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1570" name="line02">
          <a:extLst>
            <a:ext uri="{FF2B5EF4-FFF2-40B4-BE49-F238E27FC236}">
              <a16:creationId xmlns:a16="http://schemas.microsoft.com/office/drawing/2014/main" id="{E50C28F4-E2DD-48E2-9530-BF1C86A069D7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1571" name="line02">
          <a:extLst>
            <a:ext uri="{FF2B5EF4-FFF2-40B4-BE49-F238E27FC236}">
              <a16:creationId xmlns:a16="http://schemas.microsoft.com/office/drawing/2014/main" id="{C00F0801-863A-4123-B366-CB800A526143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1572" name="line02">
          <a:extLst>
            <a:ext uri="{FF2B5EF4-FFF2-40B4-BE49-F238E27FC236}">
              <a16:creationId xmlns:a16="http://schemas.microsoft.com/office/drawing/2014/main" id="{6CCD54AC-1530-492D-93F1-4E8E58A6E6F5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1573" name="line02">
          <a:extLst>
            <a:ext uri="{FF2B5EF4-FFF2-40B4-BE49-F238E27FC236}">
              <a16:creationId xmlns:a16="http://schemas.microsoft.com/office/drawing/2014/main" id="{F1775202-8B5A-4EE5-B46E-7EF414AFCCA8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1574" name="line02">
          <a:extLst>
            <a:ext uri="{FF2B5EF4-FFF2-40B4-BE49-F238E27FC236}">
              <a16:creationId xmlns:a16="http://schemas.microsoft.com/office/drawing/2014/main" id="{BC08AED6-56B2-4AEE-9639-5205C6D7F649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1575" name="line02">
          <a:extLst>
            <a:ext uri="{FF2B5EF4-FFF2-40B4-BE49-F238E27FC236}">
              <a16:creationId xmlns:a16="http://schemas.microsoft.com/office/drawing/2014/main" id="{2BDBF48B-D09F-40C2-8A3B-A2880918A607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354265</xdr:colOff>
      <xdr:row>3</xdr:row>
      <xdr:rowOff>0</xdr:rowOff>
    </xdr:from>
    <xdr:to>
      <xdr:col>2</xdr:col>
      <xdr:colOff>354265</xdr:colOff>
      <xdr:row>5</xdr:row>
      <xdr:rowOff>72736</xdr:rowOff>
    </xdr:to>
    <xdr:cxnSp macro="">
      <xdr:nvCxnSpPr>
        <xdr:cNvPr id="1576" name="line02">
          <a:extLst>
            <a:ext uri="{FF2B5EF4-FFF2-40B4-BE49-F238E27FC236}">
              <a16:creationId xmlns:a16="http://schemas.microsoft.com/office/drawing/2014/main" id="{17A87F00-34DB-4F40-B1FC-AADD4968CBE7}"/>
            </a:ext>
          </a:extLst>
        </xdr:cNvPr>
        <xdr:cNvCxnSpPr/>
      </xdr:nvCxnSpPr>
      <xdr:spPr>
        <a:xfrm flipV="1">
          <a:off x="1287715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78690</xdr:colOff>
      <xdr:row>3</xdr:row>
      <xdr:rowOff>0</xdr:rowOff>
    </xdr:from>
    <xdr:to>
      <xdr:col>4</xdr:col>
      <xdr:colOff>78690</xdr:colOff>
      <xdr:row>5</xdr:row>
      <xdr:rowOff>72736</xdr:rowOff>
    </xdr:to>
    <xdr:cxnSp macro="">
      <xdr:nvCxnSpPr>
        <xdr:cNvPr id="1577" name="line02">
          <a:extLst>
            <a:ext uri="{FF2B5EF4-FFF2-40B4-BE49-F238E27FC236}">
              <a16:creationId xmlns:a16="http://schemas.microsoft.com/office/drawing/2014/main" id="{5E59E6EA-7248-44EE-9D91-F5A4DD876A03}"/>
            </a:ext>
          </a:extLst>
        </xdr:cNvPr>
        <xdr:cNvCxnSpPr/>
      </xdr:nvCxnSpPr>
      <xdr:spPr>
        <a:xfrm flipV="1">
          <a:off x="2174190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354265</xdr:colOff>
      <xdr:row>14</xdr:row>
      <xdr:rowOff>15911</xdr:rowOff>
    </xdr:from>
    <xdr:to>
      <xdr:col>4</xdr:col>
      <xdr:colOff>78690</xdr:colOff>
      <xdr:row>14</xdr:row>
      <xdr:rowOff>15911</xdr:rowOff>
    </xdr:to>
    <xdr:cxnSp macro="">
      <xdr:nvCxnSpPr>
        <xdr:cNvPr id="1578" name="line02">
          <a:extLst>
            <a:ext uri="{FF2B5EF4-FFF2-40B4-BE49-F238E27FC236}">
              <a16:creationId xmlns:a16="http://schemas.microsoft.com/office/drawing/2014/main" id="{816698D9-C2F3-4B73-8620-9F7BFD4AF6E3}"/>
            </a:ext>
          </a:extLst>
        </xdr:cNvPr>
        <xdr:cNvCxnSpPr/>
      </xdr:nvCxnSpPr>
      <xdr:spPr>
        <a:xfrm>
          <a:off x="1287715" y="2816261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354265</xdr:colOff>
      <xdr:row>9</xdr:row>
      <xdr:rowOff>129562</xdr:rowOff>
    </xdr:from>
    <xdr:to>
      <xdr:col>4</xdr:col>
      <xdr:colOff>78690</xdr:colOff>
      <xdr:row>9</xdr:row>
      <xdr:rowOff>129562</xdr:rowOff>
    </xdr:to>
    <xdr:cxnSp macro="">
      <xdr:nvCxnSpPr>
        <xdr:cNvPr id="1579" name="line02">
          <a:extLst>
            <a:ext uri="{FF2B5EF4-FFF2-40B4-BE49-F238E27FC236}">
              <a16:creationId xmlns:a16="http://schemas.microsoft.com/office/drawing/2014/main" id="{F3A15AE4-7112-426C-9C24-C6608EB675A7}"/>
            </a:ext>
          </a:extLst>
        </xdr:cNvPr>
        <xdr:cNvCxnSpPr/>
      </xdr:nvCxnSpPr>
      <xdr:spPr>
        <a:xfrm>
          <a:off x="1287715" y="1929787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354265</xdr:colOff>
      <xdr:row>9</xdr:row>
      <xdr:rowOff>129562</xdr:rowOff>
    </xdr:from>
    <xdr:to>
      <xdr:col>2</xdr:col>
      <xdr:colOff>354265</xdr:colOff>
      <xdr:row>14</xdr:row>
      <xdr:rowOff>15911</xdr:rowOff>
    </xdr:to>
    <xdr:cxnSp macro="">
      <xdr:nvCxnSpPr>
        <xdr:cNvPr id="1580" name="line02">
          <a:extLst>
            <a:ext uri="{FF2B5EF4-FFF2-40B4-BE49-F238E27FC236}">
              <a16:creationId xmlns:a16="http://schemas.microsoft.com/office/drawing/2014/main" id="{DC1EA8DF-CAE3-423A-A166-B3B8CFE5A2B7}"/>
            </a:ext>
          </a:extLst>
        </xdr:cNvPr>
        <xdr:cNvCxnSpPr/>
      </xdr:nvCxnSpPr>
      <xdr:spPr>
        <a:xfrm flipV="1">
          <a:off x="1287715" y="1929787"/>
          <a:ext cx="0" cy="886474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78690</xdr:colOff>
      <xdr:row>9</xdr:row>
      <xdr:rowOff>129562</xdr:rowOff>
    </xdr:from>
    <xdr:to>
      <xdr:col>4</xdr:col>
      <xdr:colOff>78690</xdr:colOff>
      <xdr:row>14</xdr:row>
      <xdr:rowOff>15911</xdr:rowOff>
    </xdr:to>
    <xdr:cxnSp macro="">
      <xdr:nvCxnSpPr>
        <xdr:cNvPr id="1581" name="line02">
          <a:extLst>
            <a:ext uri="{FF2B5EF4-FFF2-40B4-BE49-F238E27FC236}">
              <a16:creationId xmlns:a16="http://schemas.microsoft.com/office/drawing/2014/main" id="{A208BA41-D0D4-42DC-8C29-5F333C0E926F}"/>
            </a:ext>
          </a:extLst>
        </xdr:cNvPr>
        <xdr:cNvCxnSpPr/>
      </xdr:nvCxnSpPr>
      <xdr:spPr>
        <a:xfrm flipV="1">
          <a:off x="2174190" y="1929787"/>
          <a:ext cx="0" cy="886474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1582" name="line02">
          <a:extLst>
            <a:ext uri="{FF2B5EF4-FFF2-40B4-BE49-F238E27FC236}">
              <a16:creationId xmlns:a16="http://schemas.microsoft.com/office/drawing/2014/main" id="{E88F89BB-B256-4CE2-BD73-01A8B6B822C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1583" name="line02">
          <a:extLst>
            <a:ext uri="{FF2B5EF4-FFF2-40B4-BE49-F238E27FC236}">
              <a16:creationId xmlns:a16="http://schemas.microsoft.com/office/drawing/2014/main" id="{CF26E288-E770-47F1-A366-FE15B2CDADD3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584" name="line02">
          <a:extLst>
            <a:ext uri="{FF2B5EF4-FFF2-40B4-BE49-F238E27FC236}">
              <a16:creationId xmlns:a16="http://schemas.microsoft.com/office/drawing/2014/main" id="{544BDBD5-4F46-4EEB-933E-E712D3AA6BD5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585" name="line02">
          <a:extLst>
            <a:ext uri="{FF2B5EF4-FFF2-40B4-BE49-F238E27FC236}">
              <a16:creationId xmlns:a16="http://schemas.microsoft.com/office/drawing/2014/main" id="{B5997BD7-B0B4-426B-B3FB-8DEF872113C3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586" name="line02">
          <a:extLst>
            <a:ext uri="{FF2B5EF4-FFF2-40B4-BE49-F238E27FC236}">
              <a16:creationId xmlns:a16="http://schemas.microsoft.com/office/drawing/2014/main" id="{B6BD8FC7-60C7-490B-A25E-1D4F2C555CD2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587" name="line02">
          <a:extLst>
            <a:ext uri="{FF2B5EF4-FFF2-40B4-BE49-F238E27FC236}">
              <a16:creationId xmlns:a16="http://schemas.microsoft.com/office/drawing/2014/main" id="{74954582-7F88-4705-A725-A03025E4A37A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588" name="line02">
          <a:extLst>
            <a:ext uri="{FF2B5EF4-FFF2-40B4-BE49-F238E27FC236}">
              <a16:creationId xmlns:a16="http://schemas.microsoft.com/office/drawing/2014/main" id="{DDEC5010-858F-4293-B381-797D5F544E44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589" name="line02">
          <a:extLst>
            <a:ext uri="{FF2B5EF4-FFF2-40B4-BE49-F238E27FC236}">
              <a16:creationId xmlns:a16="http://schemas.microsoft.com/office/drawing/2014/main" id="{095D9B76-0529-4AD2-879B-85D16391B1AD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590" name="line02">
          <a:extLst>
            <a:ext uri="{FF2B5EF4-FFF2-40B4-BE49-F238E27FC236}">
              <a16:creationId xmlns:a16="http://schemas.microsoft.com/office/drawing/2014/main" id="{134E642C-9C3A-4C81-B395-A7C11E27649D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591" name="line02">
          <a:extLst>
            <a:ext uri="{FF2B5EF4-FFF2-40B4-BE49-F238E27FC236}">
              <a16:creationId xmlns:a16="http://schemas.microsoft.com/office/drawing/2014/main" id="{0A139735-113D-4B5B-BE93-242B4D492A13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592" name="line02">
          <a:extLst>
            <a:ext uri="{FF2B5EF4-FFF2-40B4-BE49-F238E27FC236}">
              <a16:creationId xmlns:a16="http://schemas.microsoft.com/office/drawing/2014/main" id="{68AA6B90-133E-4D3A-89BA-00213FC4A5B2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593" name="line02">
          <a:extLst>
            <a:ext uri="{FF2B5EF4-FFF2-40B4-BE49-F238E27FC236}">
              <a16:creationId xmlns:a16="http://schemas.microsoft.com/office/drawing/2014/main" id="{7FA92F60-CA14-4E75-9A3B-4354698E61D8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594" name="textboxDf">
          <a:extLst>
            <a:ext uri="{FF2B5EF4-FFF2-40B4-BE49-F238E27FC236}">
              <a16:creationId xmlns:a16="http://schemas.microsoft.com/office/drawing/2014/main" id="{C27BA1FC-9ED1-4A52-B5B8-3E10FBBA4ACD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595" name="textboxD">
          <a:extLst>
            <a:ext uri="{FF2B5EF4-FFF2-40B4-BE49-F238E27FC236}">
              <a16:creationId xmlns:a16="http://schemas.microsoft.com/office/drawing/2014/main" id="{7F3AC3BF-4633-4EFA-BBCC-3DB23A21A2E5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596" name="textboxB">
          <a:extLst>
            <a:ext uri="{FF2B5EF4-FFF2-40B4-BE49-F238E27FC236}">
              <a16:creationId xmlns:a16="http://schemas.microsoft.com/office/drawing/2014/main" id="{52086D24-BE5C-4819-BF03-693F3D6B1C7D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12</xdr:row>
      <xdr:rowOff>42256</xdr:rowOff>
    </xdr:from>
    <xdr:to>
      <xdr:col>5</xdr:col>
      <xdr:colOff>368300</xdr:colOff>
      <xdr:row>15</xdr:row>
      <xdr:rowOff>77181</xdr:rowOff>
    </xdr:to>
    <xdr:sp macro="" textlink="">
      <xdr:nvSpPr>
        <xdr:cNvPr id="1597" name="textboxl2">
          <a:extLst>
            <a:ext uri="{FF2B5EF4-FFF2-40B4-BE49-F238E27FC236}">
              <a16:creationId xmlns:a16="http://schemas.microsoft.com/office/drawing/2014/main" id="{39EE169A-C0CE-4342-ADFF-AB8704B0B21F}"/>
            </a:ext>
          </a:extLst>
        </xdr:cNvPr>
        <xdr:cNvSpPr txBox="1"/>
      </xdr:nvSpPr>
      <xdr:spPr>
        <a:xfrm rot="16200000">
          <a:off x="2600325" y="263305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9</xdr:row>
      <xdr:rowOff>17895</xdr:rowOff>
    </xdr:from>
    <xdr:to>
      <xdr:col>5</xdr:col>
      <xdr:colOff>368300</xdr:colOff>
      <xdr:row>12</xdr:row>
      <xdr:rowOff>179820</xdr:rowOff>
    </xdr:to>
    <xdr:sp macro="" textlink="">
      <xdr:nvSpPr>
        <xdr:cNvPr id="1598" name="textboxex">
          <a:extLst>
            <a:ext uri="{FF2B5EF4-FFF2-40B4-BE49-F238E27FC236}">
              <a16:creationId xmlns:a16="http://schemas.microsoft.com/office/drawing/2014/main" id="{9D7D9FEE-E952-4771-90F2-687F113A4339}"/>
            </a:ext>
          </a:extLst>
        </xdr:cNvPr>
        <xdr:cNvSpPr txBox="1"/>
      </xdr:nvSpPr>
      <xdr:spPr>
        <a:xfrm rot="16200000">
          <a:off x="2536825" y="20721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ey=100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599" name="textboxl">
          <a:extLst>
            <a:ext uri="{FF2B5EF4-FFF2-40B4-BE49-F238E27FC236}">
              <a16:creationId xmlns:a16="http://schemas.microsoft.com/office/drawing/2014/main" id="{8ABED0F8-85BA-41FE-B68E-E13BF6C96DBA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1</xdr:col>
      <xdr:colOff>515692</xdr:colOff>
      <xdr:row>16</xdr:row>
      <xdr:rowOff>0</xdr:rowOff>
    </xdr:from>
    <xdr:to>
      <xdr:col>2</xdr:col>
      <xdr:colOff>569667</xdr:colOff>
      <xdr:row>17</xdr:row>
      <xdr:rowOff>53975</xdr:rowOff>
    </xdr:to>
    <xdr:sp macro="" textlink="">
      <xdr:nvSpPr>
        <xdr:cNvPr id="1600" name="textboxl2">
          <a:extLst>
            <a:ext uri="{FF2B5EF4-FFF2-40B4-BE49-F238E27FC236}">
              <a16:creationId xmlns:a16="http://schemas.microsoft.com/office/drawing/2014/main" id="{61598D82-7A26-43DC-A596-F0E22BAB7F9B}"/>
            </a:ext>
          </a:extLst>
        </xdr:cNvPr>
        <xdr:cNvSpPr txBox="1"/>
      </xdr:nvSpPr>
      <xdr:spPr>
        <a:xfrm>
          <a:off x="86811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16</xdr:row>
      <xdr:rowOff>0</xdr:rowOff>
    </xdr:from>
    <xdr:to>
      <xdr:col>4</xdr:col>
      <xdr:colOff>406256</xdr:colOff>
      <xdr:row>17</xdr:row>
      <xdr:rowOff>53975</xdr:rowOff>
    </xdr:to>
    <xdr:sp macro="" textlink="">
      <xdr:nvSpPr>
        <xdr:cNvPr id="1601" name="textboxex">
          <a:extLst>
            <a:ext uri="{FF2B5EF4-FFF2-40B4-BE49-F238E27FC236}">
              <a16:creationId xmlns:a16="http://schemas.microsoft.com/office/drawing/2014/main" id="{A0268645-A10E-49BF-B4B7-A2FB5DF6690A}"/>
            </a:ext>
          </a:extLst>
        </xdr:cNvPr>
        <xdr:cNvSpPr txBox="1"/>
      </xdr:nvSpPr>
      <xdr:spPr>
        <a:xfrm>
          <a:off x="1612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ex=100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706" name="line01">
          <a:extLst>
            <a:ext uri="{FF2B5EF4-FFF2-40B4-BE49-F238E27FC236}">
              <a16:creationId xmlns:a16="http://schemas.microsoft.com/office/drawing/2014/main" id="{F75094AB-CE82-4EC7-B4B8-4F2DB3CEF2FA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707" name="textbox01">
          <a:extLst>
            <a:ext uri="{FF2B5EF4-FFF2-40B4-BE49-F238E27FC236}">
              <a16:creationId xmlns:a16="http://schemas.microsoft.com/office/drawing/2014/main" id="{DCE424A8-4846-4609-880E-8218CD73312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0</xdr:col>
      <xdr:colOff>225425</xdr:colOff>
      <xdr:row>16</xdr:row>
      <xdr:rowOff>0</xdr:rowOff>
    </xdr:from>
    <xdr:to>
      <xdr:col>5</xdr:col>
      <xdr:colOff>127000</xdr:colOff>
      <xdr:row>16</xdr:row>
      <xdr:rowOff>0</xdr:rowOff>
    </xdr:to>
    <xdr:cxnSp macro="">
      <xdr:nvCxnSpPr>
        <xdr:cNvPr id="708" name="line02">
          <a:extLst>
            <a:ext uri="{FF2B5EF4-FFF2-40B4-BE49-F238E27FC236}">
              <a16:creationId xmlns:a16="http://schemas.microsoft.com/office/drawing/2014/main" id="{1060F6D7-965C-4600-893B-3349D6F24185}"/>
            </a:ext>
          </a:extLst>
        </xdr:cNvPr>
        <xdr:cNvCxnSpPr/>
      </xdr:nvCxnSpPr>
      <xdr:spPr>
        <a:xfrm>
          <a:off x="225425" y="3200400"/>
          <a:ext cx="2578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13</xdr:row>
      <xdr:rowOff>147845</xdr:rowOff>
    </xdr:from>
    <xdr:to>
      <xdr:col>3</xdr:col>
      <xdr:colOff>483704</xdr:colOff>
      <xdr:row>16</xdr:row>
      <xdr:rowOff>0</xdr:rowOff>
    </xdr:to>
    <xdr:cxnSp macro="">
      <xdr:nvCxnSpPr>
        <xdr:cNvPr id="709" name="line02">
          <a:extLst>
            <a:ext uri="{FF2B5EF4-FFF2-40B4-BE49-F238E27FC236}">
              <a16:creationId xmlns:a16="http://schemas.microsoft.com/office/drawing/2014/main" id="{C720C3C7-D366-433B-ABC0-1BC301DEF655}"/>
            </a:ext>
          </a:extLst>
        </xdr:cNvPr>
        <xdr:cNvCxnSpPr/>
      </xdr:nvCxnSpPr>
      <xdr:spPr>
        <a:xfrm flipV="1">
          <a:off x="1772064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5</xdr:col>
      <xdr:colOff>0</xdr:colOff>
      <xdr:row>16</xdr:row>
      <xdr:rowOff>0</xdr:rowOff>
    </xdr:to>
    <xdr:cxnSp macro="">
      <xdr:nvCxnSpPr>
        <xdr:cNvPr id="710" name="line02">
          <a:extLst>
            <a:ext uri="{FF2B5EF4-FFF2-40B4-BE49-F238E27FC236}">
              <a16:creationId xmlns:a16="http://schemas.microsoft.com/office/drawing/2014/main" id="{8BED677C-F241-4EF3-AD36-E5F7790BFCCB}"/>
            </a:ext>
          </a:extLst>
        </xdr:cNvPr>
        <xdr:cNvCxnSpPr/>
      </xdr:nvCxnSpPr>
      <xdr:spPr>
        <a:xfrm flipH="1" flipV="1">
          <a:off x="2450410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711" name="line02">
          <a:extLst>
            <a:ext uri="{FF2B5EF4-FFF2-40B4-BE49-F238E27FC236}">
              <a16:creationId xmlns:a16="http://schemas.microsoft.com/office/drawing/2014/main" id="{592B2137-2AC7-4143-88D6-C2CB4045B414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712" name="line02">
          <a:extLst>
            <a:ext uri="{FF2B5EF4-FFF2-40B4-BE49-F238E27FC236}">
              <a16:creationId xmlns:a16="http://schemas.microsoft.com/office/drawing/2014/main" id="{C374102B-6A17-4C0B-8F97-77AB5D489495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3</xdr:col>
      <xdr:colOff>483704</xdr:colOff>
      <xdr:row>13</xdr:row>
      <xdr:rowOff>147845</xdr:rowOff>
    </xdr:to>
    <xdr:cxnSp macro="">
      <xdr:nvCxnSpPr>
        <xdr:cNvPr id="713" name="line02">
          <a:extLst>
            <a:ext uri="{FF2B5EF4-FFF2-40B4-BE49-F238E27FC236}">
              <a16:creationId xmlns:a16="http://schemas.microsoft.com/office/drawing/2014/main" id="{99C6C57D-C61F-45EB-9215-BE589625D071}"/>
            </a:ext>
          </a:extLst>
        </xdr:cNvPr>
        <xdr:cNvCxnSpPr/>
      </xdr:nvCxnSpPr>
      <xdr:spPr>
        <a:xfrm>
          <a:off x="1998179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714" name="line02">
          <a:extLst>
            <a:ext uri="{FF2B5EF4-FFF2-40B4-BE49-F238E27FC236}">
              <a16:creationId xmlns:a16="http://schemas.microsoft.com/office/drawing/2014/main" id="{8BCA15B9-6DE9-4E0C-8C65-5847A3D13CF6}"/>
            </a:ext>
          </a:extLst>
        </xdr:cNvPr>
        <xdr:cNvCxnSpPr/>
      </xdr:nvCxnSpPr>
      <xdr:spPr>
        <a:xfrm>
          <a:off x="2450410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3</xdr:row>
      <xdr:rowOff>0</xdr:rowOff>
    </xdr:from>
    <xdr:to>
      <xdr:col>3</xdr:col>
      <xdr:colOff>483704</xdr:colOff>
      <xdr:row>13</xdr:row>
      <xdr:rowOff>147845</xdr:rowOff>
    </xdr:to>
    <xdr:cxnSp macro="">
      <xdr:nvCxnSpPr>
        <xdr:cNvPr id="715" name="line02">
          <a:extLst>
            <a:ext uri="{FF2B5EF4-FFF2-40B4-BE49-F238E27FC236}">
              <a16:creationId xmlns:a16="http://schemas.microsoft.com/office/drawing/2014/main" id="{17D3F167-FA89-4E91-812D-0CE29D7C64B1}"/>
            </a:ext>
          </a:extLst>
        </xdr:cNvPr>
        <xdr:cNvCxnSpPr/>
      </xdr:nvCxnSpPr>
      <xdr:spPr>
        <a:xfrm flipV="1">
          <a:off x="1998179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3</xdr:row>
      <xdr:rowOff>0</xdr:rowOff>
    </xdr:from>
    <xdr:to>
      <xdr:col>4</xdr:col>
      <xdr:colOff>354910</xdr:colOff>
      <xdr:row>13</xdr:row>
      <xdr:rowOff>147845</xdr:rowOff>
    </xdr:to>
    <xdr:cxnSp macro="">
      <xdr:nvCxnSpPr>
        <xdr:cNvPr id="716" name="line02">
          <a:extLst>
            <a:ext uri="{FF2B5EF4-FFF2-40B4-BE49-F238E27FC236}">
              <a16:creationId xmlns:a16="http://schemas.microsoft.com/office/drawing/2014/main" id="{3B84A7AD-C7AF-4571-82BA-25FE1433B3F7}"/>
            </a:ext>
          </a:extLst>
        </xdr:cNvPr>
        <xdr:cNvCxnSpPr/>
      </xdr:nvCxnSpPr>
      <xdr:spPr>
        <a:xfrm flipV="1">
          <a:off x="2450410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13</xdr:row>
      <xdr:rowOff>20845</xdr:rowOff>
    </xdr:from>
    <xdr:to>
      <xdr:col>3</xdr:col>
      <xdr:colOff>528927</xdr:colOff>
      <xdr:row>13</xdr:row>
      <xdr:rowOff>147845</xdr:rowOff>
    </xdr:to>
    <xdr:cxnSp macro="">
      <xdr:nvCxnSpPr>
        <xdr:cNvPr id="717" name="line02">
          <a:extLst>
            <a:ext uri="{FF2B5EF4-FFF2-40B4-BE49-F238E27FC236}">
              <a16:creationId xmlns:a16="http://schemas.microsoft.com/office/drawing/2014/main" id="{7955B3CF-DA48-46F1-9F09-C6F3F182E641}"/>
            </a:ext>
          </a:extLst>
        </xdr:cNvPr>
        <xdr:cNvCxnSpPr/>
      </xdr:nvCxnSpPr>
      <xdr:spPr>
        <a:xfrm flipV="1">
          <a:off x="2043402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574150</xdr:colOff>
      <xdr:row>13</xdr:row>
      <xdr:rowOff>20845</xdr:rowOff>
    </xdr:from>
    <xdr:to>
      <xdr:col>3</xdr:col>
      <xdr:colOff>574150</xdr:colOff>
      <xdr:row>13</xdr:row>
      <xdr:rowOff>147845</xdr:rowOff>
    </xdr:to>
    <xdr:cxnSp macro="">
      <xdr:nvCxnSpPr>
        <xdr:cNvPr id="718" name="line02">
          <a:extLst>
            <a:ext uri="{FF2B5EF4-FFF2-40B4-BE49-F238E27FC236}">
              <a16:creationId xmlns:a16="http://schemas.microsoft.com/office/drawing/2014/main" id="{A9DA188C-1595-4AB4-9FA0-D7A70C97B954}"/>
            </a:ext>
          </a:extLst>
        </xdr:cNvPr>
        <xdr:cNvCxnSpPr/>
      </xdr:nvCxnSpPr>
      <xdr:spPr>
        <a:xfrm flipV="1">
          <a:off x="208862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13</xdr:row>
      <xdr:rowOff>20845</xdr:rowOff>
    </xdr:from>
    <xdr:to>
      <xdr:col>4</xdr:col>
      <xdr:colOff>38348</xdr:colOff>
      <xdr:row>13</xdr:row>
      <xdr:rowOff>147845</xdr:rowOff>
    </xdr:to>
    <xdr:cxnSp macro="">
      <xdr:nvCxnSpPr>
        <xdr:cNvPr id="719" name="line02">
          <a:extLst>
            <a:ext uri="{FF2B5EF4-FFF2-40B4-BE49-F238E27FC236}">
              <a16:creationId xmlns:a16="http://schemas.microsoft.com/office/drawing/2014/main" id="{293197A3-CA4B-4B9C-B70F-0C92BA2678A6}"/>
            </a:ext>
          </a:extLst>
        </xdr:cNvPr>
        <xdr:cNvCxnSpPr/>
      </xdr:nvCxnSpPr>
      <xdr:spPr>
        <a:xfrm flipV="1">
          <a:off x="213384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83571</xdr:colOff>
      <xdr:row>13</xdr:row>
      <xdr:rowOff>20845</xdr:rowOff>
    </xdr:from>
    <xdr:to>
      <xdr:col>4</xdr:col>
      <xdr:colOff>83571</xdr:colOff>
      <xdr:row>13</xdr:row>
      <xdr:rowOff>147845</xdr:rowOff>
    </xdr:to>
    <xdr:cxnSp macro="">
      <xdr:nvCxnSpPr>
        <xdr:cNvPr id="720" name="line02">
          <a:extLst>
            <a:ext uri="{FF2B5EF4-FFF2-40B4-BE49-F238E27FC236}">
              <a16:creationId xmlns:a16="http://schemas.microsoft.com/office/drawing/2014/main" id="{2D59B540-FE01-4438-AC6F-26D2676E5C5A}"/>
            </a:ext>
          </a:extLst>
        </xdr:cNvPr>
        <xdr:cNvCxnSpPr/>
      </xdr:nvCxnSpPr>
      <xdr:spPr>
        <a:xfrm flipV="1">
          <a:off x="217907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13</xdr:row>
      <xdr:rowOff>20845</xdr:rowOff>
    </xdr:from>
    <xdr:to>
      <xdr:col>4</xdr:col>
      <xdr:colOff>128795</xdr:colOff>
      <xdr:row>13</xdr:row>
      <xdr:rowOff>147845</xdr:rowOff>
    </xdr:to>
    <xdr:cxnSp macro="">
      <xdr:nvCxnSpPr>
        <xdr:cNvPr id="721" name="line02">
          <a:extLst>
            <a:ext uri="{FF2B5EF4-FFF2-40B4-BE49-F238E27FC236}">
              <a16:creationId xmlns:a16="http://schemas.microsoft.com/office/drawing/2014/main" id="{B339AD33-B2A2-488F-BE3E-E2A39855AB15}"/>
            </a:ext>
          </a:extLst>
        </xdr:cNvPr>
        <xdr:cNvCxnSpPr/>
      </xdr:nvCxnSpPr>
      <xdr:spPr>
        <a:xfrm flipV="1">
          <a:off x="222429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174018</xdr:colOff>
      <xdr:row>13</xdr:row>
      <xdr:rowOff>20845</xdr:rowOff>
    </xdr:from>
    <xdr:to>
      <xdr:col>4</xdr:col>
      <xdr:colOff>174018</xdr:colOff>
      <xdr:row>13</xdr:row>
      <xdr:rowOff>147845</xdr:rowOff>
    </xdr:to>
    <xdr:cxnSp macro="">
      <xdr:nvCxnSpPr>
        <xdr:cNvPr id="722" name="line02">
          <a:extLst>
            <a:ext uri="{FF2B5EF4-FFF2-40B4-BE49-F238E27FC236}">
              <a16:creationId xmlns:a16="http://schemas.microsoft.com/office/drawing/2014/main" id="{CAF9AE00-535E-478C-A735-74E0816006C2}"/>
            </a:ext>
          </a:extLst>
        </xdr:cNvPr>
        <xdr:cNvCxnSpPr/>
      </xdr:nvCxnSpPr>
      <xdr:spPr>
        <a:xfrm flipV="1">
          <a:off x="226951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13</xdr:row>
      <xdr:rowOff>20845</xdr:rowOff>
    </xdr:from>
    <xdr:to>
      <xdr:col>4</xdr:col>
      <xdr:colOff>219241</xdr:colOff>
      <xdr:row>13</xdr:row>
      <xdr:rowOff>147845</xdr:rowOff>
    </xdr:to>
    <xdr:cxnSp macro="">
      <xdr:nvCxnSpPr>
        <xdr:cNvPr id="723" name="line02">
          <a:extLst>
            <a:ext uri="{FF2B5EF4-FFF2-40B4-BE49-F238E27FC236}">
              <a16:creationId xmlns:a16="http://schemas.microsoft.com/office/drawing/2014/main" id="{64D6AD65-DC9E-4A06-A845-486A6AE2EE80}"/>
            </a:ext>
          </a:extLst>
        </xdr:cNvPr>
        <xdr:cNvCxnSpPr/>
      </xdr:nvCxnSpPr>
      <xdr:spPr>
        <a:xfrm flipV="1">
          <a:off x="231474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264464</xdr:colOff>
      <xdr:row>13</xdr:row>
      <xdr:rowOff>20845</xdr:rowOff>
    </xdr:from>
    <xdr:to>
      <xdr:col>4</xdr:col>
      <xdr:colOff>264464</xdr:colOff>
      <xdr:row>13</xdr:row>
      <xdr:rowOff>147845</xdr:rowOff>
    </xdr:to>
    <xdr:cxnSp macro="">
      <xdr:nvCxnSpPr>
        <xdr:cNvPr id="724" name="line02">
          <a:extLst>
            <a:ext uri="{FF2B5EF4-FFF2-40B4-BE49-F238E27FC236}">
              <a16:creationId xmlns:a16="http://schemas.microsoft.com/office/drawing/2014/main" id="{F3F9D8CC-C4FD-4783-B9AC-E6C40CFA720D}"/>
            </a:ext>
          </a:extLst>
        </xdr:cNvPr>
        <xdr:cNvCxnSpPr/>
      </xdr:nvCxnSpPr>
      <xdr:spPr>
        <a:xfrm flipV="1">
          <a:off x="2359964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13</xdr:row>
      <xdr:rowOff>20845</xdr:rowOff>
    </xdr:from>
    <xdr:to>
      <xdr:col>4</xdr:col>
      <xdr:colOff>309687</xdr:colOff>
      <xdr:row>13</xdr:row>
      <xdr:rowOff>147845</xdr:rowOff>
    </xdr:to>
    <xdr:cxnSp macro="">
      <xdr:nvCxnSpPr>
        <xdr:cNvPr id="725" name="line02">
          <a:extLst>
            <a:ext uri="{FF2B5EF4-FFF2-40B4-BE49-F238E27FC236}">
              <a16:creationId xmlns:a16="http://schemas.microsoft.com/office/drawing/2014/main" id="{F08007CB-A967-4E25-B67F-C07093E69C6E}"/>
            </a:ext>
          </a:extLst>
        </xdr:cNvPr>
        <xdr:cNvCxnSpPr/>
      </xdr:nvCxnSpPr>
      <xdr:spPr>
        <a:xfrm flipV="1">
          <a:off x="2405187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20845</xdr:rowOff>
    </xdr:from>
    <xdr:to>
      <xdr:col>4</xdr:col>
      <xdr:colOff>354910</xdr:colOff>
      <xdr:row>13</xdr:row>
      <xdr:rowOff>147845</xdr:rowOff>
    </xdr:to>
    <xdr:cxnSp macro="">
      <xdr:nvCxnSpPr>
        <xdr:cNvPr id="726" name="line02">
          <a:extLst>
            <a:ext uri="{FF2B5EF4-FFF2-40B4-BE49-F238E27FC236}">
              <a16:creationId xmlns:a16="http://schemas.microsoft.com/office/drawing/2014/main" id="{DED83023-6150-4844-94BA-7EBABCFE1355}"/>
            </a:ext>
          </a:extLst>
        </xdr:cNvPr>
        <xdr:cNvCxnSpPr/>
      </xdr:nvCxnSpPr>
      <xdr:spPr>
        <a:xfrm flipV="1">
          <a:off x="2450410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15</xdr:row>
      <xdr:rowOff>73025</xdr:rowOff>
    </xdr:from>
    <xdr:to>
      <xdr:col>3</xdr:col>
      <xdr:colOff>257589</xdr:colOff>
      <xdr:row>16</xdr:row>
      <xdr:rowOff>0</xdr:rowOff>
    </xdr:to>
    <xdr:cxnSp macro="">
      <xdr:nvCxnSpPr>
        <xdr:cNvPr id="727" name="line02">
          <a:extLst>
            <a:ext uri="{FF2B5EF4-FFF2-40B4-BE49-F238E27FC236}">
              <a16:creationId xmlns:a16="http://schemas.microsoft.com/office/drawing/2014/main" id="{E10B086F-7B6F-4650-B379-70CD1AD03C44}"/>
            </a:ext>
          </a:extLst>
        </xdr:cNvPr>
        <xdr:cNvCxnSpPr/>
      </xdr:nvCxnSpPr>
      <xdr:spPr>
        <a:xfrm flipV="1">
          <a:off x="1772064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348035</xdr:colOff>
      <xdr:row>15</xdr:row>
      <xdr:rowOff>73025</xdr:rowOff>
    </xdr:from>
    <xdr:to>
      <xdr:col>3</xdr:col>
      <xdr:colOff>348035</xdr:colOff>
      <xdr:row>16</xdr:row>
      <xdr:rowOff>0</xdr:rowOff>
    </xdr:to>
    <xdr:cxnSp macro="">
      <xdr:nvCxnSpPr>
        <xdr:cNvPr id="728" name="line02">
          <a:extLst>
            <a:ext uri="{FF2B5EF4-FFF2-40B4-BE49-F238E27FC236}">
              <a16:creationId xmlns:a16="http://schemas.microsoft.com/office/drawing/2014/main" id="{0B147214-A28F-494C-A544-41579B6DA0D5}"/>
            </a:ext>
          </a:extLst>
        </xdr:cNvPr>
        <xdr:cNvCxnSpPr/>
      </xdr:nvCxnSpPr>
      <xdr:spPr>
        <a:xfrm flipV="1">
          <a:off x="1862510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438481</xdr:colOff>
      <xdr:row>15</xdr:row>
      <xdr:rowOff>73025</xdr:rowOff>
    </xdr:from>
    <xdr:to>
      <xdr:col>3</xdr:col>
      <xdr:colOff>438481</xdr:colOff>
      <xdr:row>16</xdr:row>
      <xdr:rowOff>0</xdr:rowOff>
    </xdr:to>
    <xdr:cxnSp macro="">
      <xdr:nvCxnSpPr>
        <xdr:cNvPr id="729" name="line02">
          <a:extLst>
            <a:ext uri="{FF2B5EF4-FFF2-40B4-BE49-F238E27FC236}">
              <a16:creationId xmlns:a16="http://schemas.microsoft.com/office/drawing/2014/main" id="{8475159F-B1F5-47B4-A4D8-498A833F7527}"/>
            </a:ext>
          </a:extLst>
        </xdr:cNvPr>
        <xdr:cNvCxnSpPr/>
      </xdr:nvCxnSpPr>
      <xdr:spPr>
        <a:xfrm flipV="1">
          <a:off x="1952956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15</xdr:row>
      <xdr:rowOff>73025</xdr:rowOff>
    </xdr:from>
    <xdr:to>
      <xdr:col>3</xdr:col>
      <xdr:colOff>528927</xdr:colOff>
      <xdr:row>16</xdr:row>
      <xdr:rowOff>0</xdr:rowOff>
    </xdr:to>
    <xdr:cxnSp macro="">
      <xdr:nvCxnSpPr>
        <xdr:cNvPr id="730" name="line02">
          <a:extLst>
            <a:ext uri="{FF2B5EF4-FFF2-40B4-BE49-F238E27FC236}">
              <a16:creationId xmlns:a16="http://schemas.microsoft.com/office/drawing/2014/main" id="{A4AF2CDD-6AC5-4320-BFE3-B53B972CFE8E}"/>
            </a:ext>
          </a:extLst>
        </xdr:cNvPr>
        <xdr:cNvCxnSpPr/>
      </xdr:nvCxnSpPr>
      <xdr:spPr>
        <a:xfrm flipV="1">
          <a:off x="2043402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15</xdr:row>
      <xdr:rowOff>73025</xdr:rowOff>
    </xdr:from>
    <xdr:to>
      <xdr:col>4</xdr:col>
      <xdr:colOff>38348</xdr:colOff>
      <xdr:row>16</xdr:row>
      <xdr:rowOff>0</xdr:rowOff>
    </xdr:to>
    <xdr:cxnSp macro="">
      <xdr:nvCxnSpPr>
        <xdr:cNvPr id="731" name="line02">
          <a:extLst>
            <a:ext uri="{FF2B5EF4-FFF2-40B4-BE49-F238E27FC236}">
              <a16:creationId xmlns:a16="http://schemas.microsoft.com/office/drawing/2014/main" id="{8DFBA582-8966-485A-8B66-91A8F432ACDB}"/>
            </a:ext>
          </a:extLst>
        </xdr:cNvPr>
        <xdr:cNvCxnSpPr/>
      </xdr:nvCxnSpPr>
      <xdr:spPr>
        <a:xfrm flipV="1">
          <a:off x="2133848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15</xdr:row>
      <xdr:rowOff>73025</xdr:rowOff>
    </xdr:from>
    <xdr:to>
      <xdr:col>4</xdr:col>
      <xdr:colOff>128795</xdr:colOff>
      <xdr:row>16</xdr:row>
      <xdr:rowOff>0</xdr:rowOff>
    </xdr:to>
    <xdr:cxnSp macro="">
      <xdr:nvCxnSpPr>
        <xdr:cNvPr id="732" name="line02">
          <a:extLst>
            <a:ext uri="{FF2B5EF4-FFF2-40B4-BE49-F238E27FC236}">
              <a16:creationId xmlns:a16="http://schemas.microsoft.com/office/drawing/2014/main" id="{345875F0-D2F5-4844-950D-0282129FEB44}"/>
            </a:ext>
          </a:extLst>
        </xdr:cNvPr>
        <xdr:cNvCxnSpPr/>
      </xdr:nvCxnSpPr>
      <xdr:spPr>
        <a:xfrm flipV="1">
          <a:off x="222429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15</xdr:row>
      <xdr:rowOff>73025</xdr:rowOff>
    </xdr:from>
    <xdr:to>
      <xdr:col>4</xdr:col>
      <xdr:colOff>219241</xdr:colOff>
      <xdr:row>16</xdr:row>
      <xdr:rowOff>0</xdr:rowOff>
    </xdr:to>
    <xdr:cxnSp macro="">
      <xdr:nvCxnSpPr>
        <xdr:cNvPr id="733" name="line02">
          <a:extLst>
            <a:ext uri="{FF2B5EF4-FFF2-40B4-BE49-F238E27FC236}">
              <a16:creationId xmlns:a16="http://schemas.microsoft.com/office/drawing/2014/main" id="{00E943F0-C8CB-4274-A66F-9046149A5B5E}"/>
            </a:ext>
          </a:extLst>
        </xdr:cNvPr>
        <xdr:cNvCxnSpPr/>
      </xdr:nvCxnSpPr>
      <xdr:spPr>
        <a:xfrm flipV="1">
          <a:off x="2314741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15</xdr:row>
      <xdr:rowOff>73025</xdr:rowOff>
    </xdr:from>
    <xdr:to>
      <xdr:col>4</xdr:col>
      <xdr:colOff>309687</xdr:colOff>
      <xdr:row>16</xdr:row>
      <xdr:rowOff>0</xdr:rowOff>
    </xdr:to>
    <xdr:cxnSp macro="">
      <xdr:nvCxnSpPr>
        <xdr:cNvPr id="734" name="line02">
          <a:extLst>
            <a:ext uri="{FF2B5EF4-FFF2-40B4-BE49-F238E27FC236}">
              <a16:creationId xmlns:a16="http://schemas.microsoft.com/office/drawing/2014/main" id="{6CEA6748-079E-4EC1-83A7-A256915EEF45}"/>
            </a:ext>
          </a:extLst>
        </xdr:cNvPr>
        <xdr:cNvCxnSpPr/>
      </xdr:nvCxnSpPr>
      <xdr:spPr>
        <a:xfrm flipV="1">
          <a:off x="2405187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400133</xdr:colOff>
      <xdr:row>15</xdr:row>
      <xdr:rowOff>73025</xdr:rowOff>
    </xdr:from>
    <xdr:to>
      <xdr:col>4</xdr:col>
      <xdr:colOff>400133</xdr:colOff>
      <xdr:row>16</xdr:row>
      <xdr:rowOff>0</xdr:rowOff>
    </xdr:to>
    <xdr:cxnSp macro="">
      <xdr:nvCxnSpPr>
        <xdr:cNvPr id="735" name="line02">
          <a:extLst>
            <a:ext uri="{FF2B5EF4-FFF2-40B4-BE49-F238E27FC236}">
              <a16:creationId xmlns:a16="http://schemas.microsoft.com/office/drawing/2014/main" id="{52B523D5-C947-4BFB-8AEB-17E44E1399A9}"/>
            </a:ext>
          </a:extLst>
        </xdr:cNvPr>
        <xdr:cNvCxnSpPr/>
      </xdr:nvCxnSpPr>
      <xdr:spPr>
        <a:xfrm flipV="1">
          <a:off x="2495633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490579</xdr:colOff>
      <xdr:row>15</xdr:row>
      <xdr:rowOff>73025</xdr:rowOff>
    </xdr:from>
    <xdr:to>
      <xdr:col>4</xdr:col>
      <xdr:colOff>490579</xdr:colOff>
      <xdr:row>16</xdr:row>
      <xdr:rowOff>0</xdr:rowOff>
    </xdr:to>
    <xdr:cxnSp macro="">
      <xdr:nvCxnSpPr>
        <xdr:cNvPr id="736" name="line02">
          <a:extLst>
            <a:ext uri="{FF2B5EF4-FFF2-40B4-BE49-F238E27FC236}">
              <a16:creationId xmlns:a16="http://schemas.microsoft.com/office/drawing/2014/main" id="{243E3563-81D1-4564-B1CD-B91F84436781}"/>
            </a:ext>
          </a:extLst>
        </xdr:cNvPr>
        <xdr:cNvCxnSpPr/>
      </xdr:nvCxnSpPr>
      <xdr:spPr>
        <a:xfrm flipV="1">
          <a:off x="2586079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73025</xdr:rowOff>
    </xdr:from>
    <xdr:to>
      <xdr:col>5</xdr:col>
      <xdr:colOff>0</xdr:colOff>
      <xdr:row>16</xdr:row>
      <xdr:rowOff>0</xdr:rowOff>
    </xdr:to>
    <xdr:cxnSp macro="">
      <xdr:nvCxnSpPr>
        <xdr:cNvPr id="737" name="line02">
          <a:extLst>
            <a:ext uri="{FF2B5EF4-FFF2-40B4-BE49-F238E27FC236}">
              <a16:creationId xmlns:a16="http://schemas.microsoft.com/office/drawing/2014/main" id="{835D968C-9D11-4261-BF6B-F31251F602BA}"/>
            </a:ext>
          </a:extLst>
        </xdr:cNvPr>
        <xdr:cNvCxnSpPr/>
      </xdr:nvCxnSpPr>
      <xdr:spPr>
        <a:xfrm flipV="1">
          <a:off x="267652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738" name="line02">
          <a:extLst>
            <a:ext uri="{FF2B5EF4-FFF2-40B4-BE49-F238E27FC236}">
              <a16:creationId xmlns:a16="http://schemas.microsoft.com/office/drawing/2014/main" id="{C7F48B13-F917-43C6-9232-53464B1CD1A9}"/>
            </a:ext>
          </a:extLst>
        </xdr:cNvPr>
        <xdr:cNvCxnSpPr/>
      </xdr:nvCxnSpPr>
      <xdr:spPr>
        <a:xfrm flipV="1">
          <a:off x="33115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3</xdr:row>
      <xdr:rowOff>0</xdr:rowOff>
    </xdr:from>
    <xdr:to>
      <xdr:col>5</xdr:col>
      <xdr:colOff>317500</xdr:colOff>
      <xdr:row>16</xdr:row>
      <xdr:rowOff>0</xdr:rowOff>
    </xdr:to>
    <xdr:cxnSp macro="">
      <xdr:nvCxnSpPr>
        <xdr:cNvPr id="739" name="line02">
          <a:extLst>
            <a:ext uri="{FF2B5EF4-FFF2-40B4-BE49-F238E27FC236}">
              <a16:creationId xmlns:a16="http://schemas.microsoft.com/office/drawing/2014/main" id="{D71E9A3A-4151-4533-95D2-94D87F6F4A02}"/>
            </a:ext>
          </a:extLst>
        </xdr:cNvPr>
        <xdr:cNvCxnSpPr/>
      </xdr:nvCxnSpPr>
      <xdr:spPr>
        <a:xfrm flipV="1">
          <a:off x="29940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13</xdr:row>
      <xdr:rowOff>147845</xdr:rowOff>
    </xdr:from>
    <xdr:to>
      <xdr:col>5</xdr:col>
      <xdr:colOff>317500</xdr:colOff>
      <xdr:row>13</xdr:row>
      <xdr:rowOff>147845</xdr:rowOff>
    </xdr:to>
    <xdr:cxnSp macro="">
      <xdr:nvCxnSpPr>
        <xdr:cNvPr id="740" name="line02">
          <a:extLst>
            <a:ext uri="{FF2B5EF4-FFF2-40B4-BE49-F238E27FC236}">
              <a16:creationId xmlns:a16="http://schemas.microsoft.com/office/drawing/2014/main" id="{C26F8FE8-2308-436B-B369-F09AB144FAAB}"/>
            </a:ext>
          </a:extLst>
        </xdr:cNvPr>
        <xdr:cNvCxnSpPr/>
      </xdr:nvCxnSpPr>
      <xdr:spPr>
        <a:xfrm>
          <a:off x="2740025" y="2748170"/>
          <a:ext cx="254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741" name="line02">
          <a:extLst>
            <a:ext uri="{FF2B5EF4-FFF2-40B4-BE49-F238E27FC236}">
              <a16:creationId xmlns:a16="http://schemas.microsoft.com/office/drawing/2014/main" id="{6B5D8A1B-A192-4C66-BE08-B27DF355C2C0}"/>
            </a:ext>
          </a:extLst>
        </xdr:cNvPr>
        <xdr:cNvCxnSpPr/>
      </xdr:nvCxnSpPr>
      <xdr:spPr>
        <a:xfrm>
          <a:off x="2740025" y="3200400"/>
          <a:ext cx="571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17</xdr:row>
      <xdr:rowOff>66675</xdr:rowOff>
    </xdr:from>
    <xdr:to>
      <xdr:col>5</xdr:col>
      <xdr:colOff>0</xdr:colOff>
      <xdr:row>17</xdr:row>
      <xdr:rowOff>66675</xdr:rowOff>
    </xdr:to>
    <xdr:cxnSp macro="">
      <xdr:nvCxnSpPr>
        <xdr:cNvPr id="742" name="line02">
          <a:extLst>
            <a:ext uri="{FF2B5EF4-FFF2-40B4-BE49-F238E27FC236}">
              <a16:creationId xmlns:a16="http://schemas.microsoft.com/office/drawing/2014/main" id="{C249D1E3-C96F-4C43-A257-711083584129}"/>
            </a:ext>
          </a:extLst>
        </xdr:cNvPr>
        <xdr:cNvCxnSpPr/>
      </xdr:nvCxnSpPr>
      <xdr:spPr>
        <a:xfrm>
          <a:off x="1772064" y="3467100"/>
          <a:ext cx="90446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16</xdr:row>
      <xdr:rowOff>38100</xdr:rowOff>
    </xdr:from>
    <xdr:to>
      <xdr:col>3</xdr:col>
      <xdr:colOff>257589</xdr:colOff>
      <xdr:row>17</xdr:row>
      <xdr:rowOff>79375</xdr:rowOff>
    </xdr:to>
    <xdr:cxnSp macro="">
      <xdr:nvCxnSpPr>
        <xdr:cNvPr id="743" name="line02">
          <a:extLst>
            <a:ext uri="{FF2B5EF4-FFF2-40B4-BE49-F238E27FC236}">
              <a16:creationId xmlns:a16="http://schemas.microsoft.com/office/drawing/2014/main" id="{F5682F72-FAE8-485C-8630-F9A445F215CF}"/>
            </a:ext>
          </a:extLst>
        </xdr:cNvPr>
        <xdr:cNvCxnSpPr/>
      </xdr:nvCxnSpPr>
      <xdr:spPr>
        <a:xfrm flipV="1">
          <a:off x="1772064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79375</xdr:rowOff>
    </xdr:to>
    <xdr:cxnSp macro="">
      <xdr:nvCxnSpPr>
        <xdr:cNvPr id="744" name="line02">
          <a:extLst>
            <a:ext uri="{FF2B5EF4-FFF2-40B4-BE49-F238E27FC236}">
              <a16:creationId xmlns:a16="http://schemas.microsoft.com/office/drawing/2014/main" id="{BEB61A44-7E3B-4610-A2A3-55176BDE6546}"/>
            </a:ext>
          </a:extLst>
        </xdr:cNvPr>
        <xdr:cNvCxnSpPr/>
      </xdr:nvCxnSpPr>
      <xdr:spPr>
        <a:xfrm flipV="1">
          <a:off x="2676525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9</xdr:row>
      <xdr:rowOff>185945</xdr:rowOff>
    </xdr:from>
    <xdr:to>
      <xdr:col>5</xdr:col>
      <xdr:colOff>381000</xdr:colOff>
      <xdr:row>13</xdr:row>
      <xdr:rowOff>147845</xdr:rowOff>
    </xdr:to>
    <xdr:sp macro="" textlink="">
      <xdr:nvSpPr>
        <xdr:cNvPr id="745" name="textboxDf">
          <a:extLst>
            <a:ext uri="{FF2B5EF4-FFF2-40B4-BE49-F238E27FC236}">
              <a16:creationId xmlns:a16="http://schemas.microsoft.com/office/drawing/2014/main" id="{87ADFFAA-EBC2-4857-8D79-815ABE2FD57B}"/>
            </a:ext>
          </a:extLst>
        </xdr:cNvPr>
        <xdr:cNvSpPr txBox="1"/>
      </xdr:nvSpPr>
      <xdr:spPr>
        <a:xfrm rot="16200000">
          <a:off x="2549525" y="224017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df=9500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254000</xdr:colOff>
      <xdr:row>9</xdr:row>
      <xdr:rowOff>130175</xdr:rowOff>
    </xdr:from>
    <xdr:to>
      <xdr:col>5</xdr:col>
      <xdr:colOff>508000</xdr:colOff>
      <xdr:row>16</xdr:row>
      <xdr:rowOff>0</xdr:rowOff>
    </xdr:to>
    <xdr:sp macro="" textlink="">
      <xdr:nvSpPr>
        <xdr:cNvPr id="746" name="textboxDf">
          <a:extLst>
            <a:ext uri="{FF2B5EF4-FFF2-40B4-BE49-F238E27FC236}">
              <a16:creationId xmlns:a16="http://schemas.microsoft.com/office/drawing/2014/main" id="{90104ADE-0564-4A51-944A-AADBF28AEBA6}"/>
            </a:ext>
          </a:extLst>
        </xdr:cNvPr>
        <xdr:cNvSpPr txBox="1"/>
      </xdr:nvSpPr>
      <xdr:spPr>
        <a:xfrm rot="16200000">
          <a:off x="2422525" y="243840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h-df=2000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412750</xdr:colOff>
      <xdr:row>5</xdr:row>
      <xdr:rowOff>9525</xdr:rowOff>
    </xdr:from>
    <xdr:to>
      <xdr:col>6</xdr:col>
      <xdr:colOff>85725</xdr:colOff>
      <xdr:row>9</xdr:row>
      <xdr:rowOff>34925</xdr:rowOff>
    </xdr:to>
    <xdr:sp macro="" textlink="">
      <xdr:nvSpPr>
        <xdr:cNvPr id="747" name="textboxB">
          <a:extLst>
            <a:ext uri="{FF2B5EF4-FFF2-40B4-BE49-F238E27FC236}">
              <a16:creationId xmlns:a16="http://schemas.microsoft.com/office/drawing/2014/main" id="{A6E30C34-79A3-4528-A4E9-9F3A2CEF2C37}"/>
            </a:ext>
          </a:extLst>
        </xdr:cNvPr>
        <xdr:cNvSpPr txBox="1"/>
      </xdr:nvSpPr>
      <xdr:spPr>
        <a:xfrm rot="16200000">
          <a:off x="2803525" y="1295400"/>
          <a:ext cx="8255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H=11500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228600</xdr:colOff>
      <xdr:row>16</xdr:row>
      <xdr:rowOff>63500</xdr:rowOff>
    </xdr:from>
    <xdr:to>
      <xdr:col>5</xdr:col>
      <xdr:colOff>390525</xdr:colOff>
      <xdr:row>17</xdr:row>
      <xdr:rowOff>117475</xdr:rowOff>
    </xdr:to>
    <xdr:sp macro="" textlink="">
      <xdr:nvSpPr>
        <xdr:cNvPr id="748" name="textboxl">
          <a:extLst>
            <a:ext uri="{FF2B5EF4-FFF2-40B4-BE49-F238E27FC236}">
              <a16:creationId xmlns:a16="http://schemas.microsoft.com/office/drawing/2014/main" id="{64CAEB78-C716-4E98-BAB1-9E9F3DCE50B3}"/>
            </a:ext>
          </a:extLst>
        </xdr:cNvPr>
        <xdr:cNvSpPr txBox="1"/>
      </xdr:nvSpPr>
      <xdr:spPr>
        <a:xfrm>
          <a:off x="1162050" y="32639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L+H-Df=4000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11</xdr:row>
      <xdr:rowOff>166895</xdr:rowOff>
    </xdr:from>
    <xdr:to>
      <xdr:col>5</xdr:col>
      <xdr:colOff>563770</xdr:colOff>
      <xdr:row>13</xdr:row>
      <xdr:rowOff>20845</xdr:rowOff>
    </xdr:to>
    <xdr:sp macro="" textlink="">
      <xdr:nvSpPr>
        <xdr:cNvPr id="749" name="textboxl">
          <a:extLst>
            <a:ext uri="{FF2B5EF4-FFF2-40B4-BE49-F238E27FC236}">
              <a16:creationId xmlns:a16="http://schemas.microsoft.com/office/drawing/2014/main" id="{38705C5A-F3EA-4A9A-BB51-BF3D04301F67}"/>
            </a:ext>
          </a:extLst>
        </xdr:cNvPr>
        <xdr:cNvSpPr txBox="1"/>
      </xdr:nvSpPr>
      <xdr:spPr>
        <a:xfrm>
          <a:off x="1970295" y="2367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L=2000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355600</xdr:colOff>
      <xdr:row>17</xdr:row>
      <xdr:rowOff>15875</xdr:rowOff>
    </xdr:from>
    <xdr:to>
      <xdr:col>5</xdr:col>
      <xdr:colOff>517525</xdr:colOff>
      <xdr:row>18</xdr:row>
      <xdr:rowOff>69850</xdr:rowOff>
    </xdr:to>
    <xdr:sp macro="" textlink="">
      <xdr:nvSpPr>
        <xdr:cNvPr id="750" name="textboxl">
          <a:extLst>
            <a:ext uri="{FF2B5EF4-FFF2-40B4-BE49-F238E27FC236}">
              <a16:creationId xmlns:a16="http://schemas.microsoft.com/office/drawing/2014/main" id="{78186BEC-A930-4ED3-B969-9BE6FBBA4261}"/>
            </a:ext>
          </a:extLst>
        </xdr:cNvPr>
        <xdr:cNvSpPr txBox="1"/>
      </xdr:nvSpPr>
      <xdr:spPr>
        <a:xfrm>
          <a:off x="1289050" y="34163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B+H-Df=3000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13</xdr:row>
      <xdr:rowOff>147845</xdr:rowOff>
    </xdr:from>
    <xdr:to>
      <xdr:col>5</xdr:col>
      <xdr:colOff>563770</xdr:colOff>
      <xdr:row>15</xdr:row>
      <xdr:rowOff>1795</xdr:rowOff>
    </xdr:to>
    <xdr:sp macro="" textlink="">
      <xdr:nvSpPr>
        <xdr:cNvPr id="751" name="textboxl">
          <a:extLst>
            <a:ext uri="{FF2B5EF4-FFF2-40B4-BE49-F238E27FC236}">
              <a16:creationId xmlns:a16="http://schemas.microsoft.com/office/drawing/2014/main" id="{E6DFCE6B-56A1-4CF0-9179-C093494A7893}"/>
            </a:ext>
          </a:extLst>
        </xdr:cNvPr>
        <xdr:cNvSpPr txBox="1"/>
      </xdr:nvSpPr>
      <xdr:spPr>
        <a:xfrm>
          <a:off x="1970295" y="2748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B=1000</a:t>
          </a:r>
          <a:endParaRPr kumimoji="1" lang="ja-JP" altLang="en-US" sz="1100"/>
        </a:p>
      </xdr:txBody>
    </xdr: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13</xdr:row>
      <xdr:rowOff>147845</xdr:rowOff>
    </xdr:to>
    <xdr:cxnSp macro="">
      <xdr:nvCxnSpPr>
        <xdr:cNvPr id="752" name="line02">
          <a:extLst>
            <a:ext uri="{FF2B5EF4-FFF2-40B4-BE49-F238E27FC236}">
              <a16:creationId xmlns:a16="http://schemas.microsoft.com/office/drawing/2014/main" id="{8CC3C223-ABEA-4C80-9081-7C1263AD1482}"/>
            </a:ext>
          </a:extLst>
        </xdr:cNvPr>
        <xdr:cNvCxnSpPr/>
      </xdr:nvCxnSpPr>
      <xdr:spPr>
        <a:xfrm flipH="1">
          <a:off x="2563467" y="274817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753" name="line02">
          <a:extLst>
            <a:ext uri="{FF2B5EF4-FFF2-40B4-BE49-F238E27FC236}">
              <a16:creationId xmlns:a16="http://schemas.microsoft.com/office/drawing/2014/main" id="{4843D4D4-0413-45B8-8A78-4CB389612530}"/>
            </a:ext>
          </a:extLst>
        </xdr:cNvPr>
        <xdr:cNvCxnSpPr/>
      </xdr:nvCxnSpPr>
      <xdr:spPr>
        <a:xfrm>
          <a:off x="2676525" y="2748170"/>
          <a:ext cx="0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754" name="line02">
          <a:extLst>
            <a:ext uri="{FF2B5EF4-FFF2-40B4-BE49-F238E27FC236}">
              <a16:creationId xmlns:a16="http://schemas.microsoft.com/office/drawing/2014/main" id="{C937961F-B799-4663-A65C-B0C44812DB20}"/>
            </a:ext>
          </a:extLst>
        </xdr:cNvPr>
        <xdr:cNvCxnSpPr/>
      </xdr:nvCxnSpPr>
      <xdr:spPr>
        <a:xfrm flipH="1" flipV="1">
          <a:off x="2563467" y="2748170"/>
          <a:ext cx="113058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517525</xdr:colOff>
      <xdr:row>14</xdr:row>
      <xdr:rowOff>11320</xdr:rowOff>
    </xdr:from>
    <xdr:to>
      <xdr:col>5</xdr:col>
      <xdr:colOff>190500</xdr:colOff>
      <xdr:row>15</xdr:row>
      <xdr:rowOff>65295</xdr:rowOff>
    </xdr:to>
    <xdr:sp macro="" textlink="">
      <xdr:nvSpPr>
        <xdr:cNvPr id="755" name="textbox2">
          <a:extLst>
            <a:ext uri="{FF2B5EF4-FFF2-40B4-BE49-F238E27FC236}">
              <a16:creationId xmlns:a16="http://schemas.microsoft.com/office/drawing/2014/main" id="{AEF65B29-C8FC-44E1-933A-5D474AB9B7C2}"/>
            </a:ext>
          </a:extLst>
        </xdr:cNvPr>
        <xdr:cNvSpPr txBox="1"/>
      </xdr:nvSpPr>
      <xdr:spPr>
        <a:xfrm>
          <a:off x="2613025" y="2811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4</xdr:col>
      <xdr:colOff>390525</xdr:colOff>
      <xdr:row>12</xdr:row>
      <xdr:rowOff>157370</xdr:rowOff>
    </xdr:from>
    <xdr:to>
      <xdr:col>5</xdr:col>
      <xdr:colOff>63500</xdr:colOff>
      <xdr:row>14</xdr:row>
      <xdr:rowOff>11320</xdr:rowOff>
    </xdr:to>
    <xdr:sp macro="" textlink="">
      <xdr:nvSpPr>
        <xdr:cNvPr id="756" name="textbox2">
          <a:extLst>
            <a:ext uri="{FF2B5EF4-FFF2-40B4-BE49-F238E27FC236}">
              <a16:creationId xmlns:a16="http://schemas.microsoft.com/office/drawing/2014/main" id="{DA25D974-E5D4-49B0-A33F-38F85B7B50DA}"/>
            </a:ext>
          </a:extLst>
        </xdr:cNvPr>
        <xdr:cNvSpPr txBox="1"/>
      </xdr:nvSpPr>
      <xdr:spPr>
        <a:xfrm>
          <a:off x="2486025" y="2557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113058</xdr:colOff>
      <xdr:row>16</xdr:row>
      <xdr:rowOff>0</xdr:rowOff>
    </xdr:to>
    <xdr:cxnSp macro="">
      <xdr:nvCxnSpPr>
        <xdr:cNvPr id="757" name="line02">
          <a:extLst>
            <a:ext uri="{FF2B5EF4-FFF2-40B4-BE49-F238E27FC236}">
              <a16:creationId xmlns:a16="http://schemas.microsoft.com/office/drawing/2014/main" id="{5A7CF233-2F38-4621-BF5A-0161CEA2DF03}"/>
            </a:ext>
          </a:extLst>
        </xdr:cNvPr>
        <xdr:cNvCxnSpPr/>
      </xdr:nvCxnSpPr>
      <xdr:spPr>
        <a:xfrm>
          <a:off x="352425" y="320040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14</xdr:row>
      <xdr:rowOff>184150</xdr:rowOff>
    </xdr:from>
    <xdr:to>
      <xdr:col>2</xdr:col>
      <xdr:colOff>53975</xdr:colOff>
      <xdr:row>16</xdr:row>
      <xdr:rowOff>38100</xdr:rowOff>
    </xdr:to>
    <xdr:sp macro="" textlink="">
      <xdr:nvSpPr>
        <xdr:cNvPr id="758" name="textbox01">
          <a:extLst>
            <a:ext uri="{FF2B5EF4-FFF2-40B4-BE49-F238E27FC236}">
              <a16:creationId xmlns:a16="http://schemas.microsoft.com/office/drawing/2014/main" id="{721803CF-1DC7-4722-BE62-B0C8BE0F456D}"/>
            </a:ext>
          </a:extLst>
        </xdr:cNvPr>
        <xdr:cNvSpPr txBox="1"/>
      </xdr:nvSpPr>
      <xdr:spPr>
        <a:xfrm>
          <a:off x="352425" y="2984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▽WL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DB8A2-B674-43C2-8EB0-5D6414034139}">
  <sheetPr codeName="Sheet3"/>
  <dimension ref="A1:Q27"/>
  <sheetViews>
    <sheetView tabSelected="1" topLeftCell="A7" workbookViewId="0">
      <selection activeCell="D23" sqref="D23"/>
    </sheetView>
  </sheetViews>
  <sheetFormatPr defaultRowHeight="18.75" x14ac:dyDescent="0.4"/>
  <cols>
    <col min="5" max="5" width="9.375" bestFit="1" customWidth="1"/>
  </cols>
  <sheetData>
    <row r="1" spans="1:17" x14ac:dyDescent="0.4">
      <c r="A1" t="s">
        <v>90</v>
      </c>
      <c r="B1">
        <v>1.5</v>
      </c>
    </row>
    <row r="2" spans="1:17" x14ac:dyDescent="0.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</row>
    <row r="3" spans="1:17" x14ac:dyDescent="0.25">
      <c r="A3" t="s">
        <v>63</v>
      </c>
      <c r="B3" s="16"/>
      <c r="C3" s="40" t="s">
        <v>58</v>
      </c>
      <c r="E3" s="40" t="s">
        <v>59</v>
      </c>
      <c r="F3" s="40" t="s">
        <v>91</v>
      </c>
      <c r="G3" s="52" t="s">
        <v>98</v>
      </c>
      <c r="H3" s="52" t="s">
        <v>105</v>
      </c>
      <c r="I3" s="52" t="s">
        <v>106</v>
      </c>
      <c r="J3" s="40" t="s">
        <v>107</v>
      </c>
      <c r="K3" s="54" t="s">
        <v>108</v>
      </c>
      <c r="L3" s="40" t="s">
        <v>109</v>
      </c>
      <c r="M3" s="54" t="s">
        <v>108</v>
      </c>
      <c r="N3" s="52" t="s">
        <v>110</v>
      </c>
      <c r="O3" s="54" t="s">
        <v>111</v>
      </c>
      <c r="P3" s="54" t="s">
        <v>112</v>
      </c>
      <c r="Q3" s="54" t="s">
        <v>113</v>
      </c>
    </row>
    <row r="4" spans="1:17" x14ac:dyDescent="0.25">
      <c r="A4" t="s">
        <v>101</v>
      </c>
      <c r="B4" s="16">
        <v>600</v>
      </c>
      <c r="C4" s="40" t="s">
        <v>60</v>
      </c>
      <c r="D4">
        <v>16</v>
      </c>
      <c r="E4" s="40">
        <v>0.6</v>
      </c>
      <c r="F4">
        <v>1.3</v>
      </c>
      <c r="G4">
        <v>2</v>
      </c>
      <c r="H4">
        <v>1.2999999523162842</v>
      </c>
      <c r="I4">
        <v>2</v>
      </c>
      <c r="J4">
        <v>1.2999999523162842</v>
      </c>
      <c r="K4">
        <v>2</v>
      </c>
      <c r="L4">
        <v>1.2999999523162842</v>
      </c>
      <c r="M4">
        <v>2</v>
      </c>
      <c r="N4">
        <v>1.2999999523162842</v>
      </c>
      <c r="O4">
        <v>1</v>
      </c>
      <c r="P4">
        <v>1.2999999523162842</v>
      </c>
      <c r="Q4">
        <v>0</v>
      </c>
    </row>
    <row r="5" spans="1:17" x14ac:dyDescent="0.25">
      <c r="A5" t="s">
        <v>99</v>
      </c>
      <c r="B5" s="16">
        <v>1.2</v>
      </c>
      <c r="C5" s="40" t="s">
        <v>61</v>
      </c>
      <c r="D5">
        <v>18</v>
      </c>
      <c r="E5" s="40">
        <v>2.8</v>
      </c>
      <c r="F5">
        <v>2.2999999999999998</v>
      </c>
      <c r="G5">
        <v>2</v>
      </c>
      <c r="H5">
        <v>2.2999999523162842</v>
      </c>
      <c r="I5">
        <v>2</v>
      </c>
      <c r="J5">
        <v>2.2999999523162842</v>
      </c>
      <c r="K5">
        <v>2</v>
      </c>
      <c r="L5">
        <v>2.2999999523162842</v>
      </c>
      <c r="M5">
        <v>2</v>
      </c>
      <c r="N5">
        <v>1</v>
      </c>
      <c r="O5">
        <v>2</v>
      </c>
      <c r="P5">
        <v>2</v>
      </c>
      <c r="Q5">
        <v>0</v>
      </c>
    </row>
    <row r="6" spans="1:17" x14ac:dyDescent="0.25">
      <c r="A6" t="s">
        <v>100</v>
      </c>
      <c r="B6" s="16">
        <v>15</v>
      </c>
      <c r="C6" s="40" t="s">
        <v>61</v>
      </c>
      <c r="D6">
        <v>18</v>
      </c>
      <c r="E6" s="40">
        <v>8.8000000000000007</v>
      </c>
      <c r="F6">
        <f>F5+1</f>
        <v>3.3</v>
      </c>
      <c r="G6">
        <v>2</v>
      </c>
      <c r="H6">
        <v>3.2999999523162842</v>
      </c>
      <c r="I6">
        <v>2</v>
      </c>
      <c r="J6">
        <v>3.2999999523162842</v>
      </c>
      <c r="K6">
        <v>2</v>
      </c>
      <c r="L6">
        <v>3.2999999523162842</v>
      </c>
      <c r="M6">
        <v>2</v>
      </c>
      <c r="N6">
        <v>1</v>
      </c>
      <c r="O6">
        <v>2</v>
      </c>
      <c r="P6">
        <v>2</v>
      </c>
      <c r="Q6">
        <v>0</v>
      </c>
    </row>
    <row r="7" spans="1:17" x14ac:dyDescent="0.4">
      <c r="C7" s="40" t="s">
        <v>62</v>
      </c>
      <c r="D7">
        <v>16</v>
      </c>
      <c r="E7" s="40">
        <v>2</v>
      </c>
      <c r="F7">
        <f>F6+1</f>
        <v>4.3</v>
      </c>
      <c r="G7">
        <v>2</v>
      </c>
      <c r="H7">
        <v>4.3000001907348633</v>
      </c>
      <c r="I7">
        <v>2</v>
      </c>
      <c r="J7">
        <v>4.3000001907348633</v>
      </c>
      <c r="K7">
        <v>2</v>
      </c>
      <c r="L7">
        <v>4.3000001907348633</v>
      </c>
      <c r="M7">
        <v>2</v>
      </c>
      <c r="N7">
        <v>1.0000002384185791</v>
      </c>
      <c r="O7">
        <v>2</v>
      </c>
      <c r="P7">
        <v>2.0000004768371582</v>
      </c>
      <c r="Q7">
        <v>0</v>
      </c>
    </row>
    <row r="8" spans="1:17" x14ac:dyDescent="0.4">
      <c r="A8" t="s">
        <v>102</v>
      </c>
      <c r="B8">
        <v>13.799999999999999</v>
      </c>
      <c r="F8">
        <f t="shared" ref="F8:F24" si="0">F7+1</f>
        <v>5.3</v>
      </c>
      <c r="G8">
        <v>10</v>
      </c>
      <c r="H8">
        <v>5.3000001907348633</v>
      </c>
      <c r="I8">
        <v>10</v>
      </c>
      <c r="J8">
        <v>5.3000001907348633</v>
      </c>
      <c r="K8">
        <v>10</v>
      </c>
      <c r="L8">
        <v>5.3000001907348633</v>
      </c>
      <c r="M8">
        <v>10</v>
      </c>
      <c r="N8">
        <v>1</v>
      </c>
      <c r="O8">
        <v>6</v>
      </c>
      <c r="P8">
        <v>6</v>
      </c>
      <c r="Q8">
        <v>0</v>
      </c>
    </row>
    <row r="9" spans="1:17" x14ac:dyDescent="0.4">
      <c r="A9" t="s">
        <v>103</v>
      </c>
      <c r="B9">
        <v>16.2</v>
      </c>
      <c r="F9">
        <f t="shared" si="0"/>
        <v>6.3</v>
      </c>
      <c r="G9">
        <v>12</v>
      </c>
      <c r="H9">
        <v>6.3000001907348633</v>
      </c>
      <c r="I9">
        <v>12</v>
      </c>
      <c r="J9">
        <v>6.3000001907348633</v>
      </c>
      <c r="K9">
        <v>12</v>
      </c>
      <c r="L9">
        <v>6.3000001907348633</v>
      </c>
      <c r="M9">
        <v>12</v>
      </c>
      <c r="N9">
        <v>1</v>
      </c>
      <c r="O9">
        <v>11</v>
      </c>
      <c r="P9">
        <v>11</v>
      </c>
      <c r="Q9">
        <v>0</v>
      </c>
    </row>
    <row r="10" spans="1:17" x14ac:dyDescent="0.4">
      <c r="A10" t="s">
        <v>104</v>
      </c>
      <c r="B10">
        <v>16.8</v>
      </c>
      <c r="F10">
        <f t="shared" si="0"/>
        <v>7.3</v>
      </c>
      <c r="G10">
        <v>13</v>
      </c>
      <c r="H10">
        <v>7.3000001907348633</v>
      </c>
      <c r="I10">
        <v>13</v>
      </c>
      <c r="J10">
        <v>7.3000001907348633</v>
      </c>
      <c r="K10">
        <v>13</v>
      </c>
      <c r="L10">
        <v>7.3000001907348633</v>
      </c>
      <c r="M10">
        <v>13</v>
      </c>
      <c r="N10">
        <v>1</v>
      </c>
      <c r="O10">
        <v>12.5</v>
      </c>
      <c r="P10">
        <v>12.5</v>
      </c>
      <c r="Q10">
        <v>0</v>
      </c>
    </row>
    <row r="11" spans="1:17" x14ac:dyDescent="0.4">
      <c r="F11">
        <f t="shared" si="0"/>
        <v>8.3000000000000007</v>
      </c>
      <c r="G11">
        <v>11</v>
      </c>
      <c r="H11">
        <v>8.3000001907348633</v>
      </c>
      <c r="I11">
        <v>11</v>
      </c>
      <c r="J11">
        <v>8.3000001907348633</v>
      </c>
      <c r="K11">
        <v>11</v>
      </c>
      <c r="L11">
        <v>8.3000001907348633</v>
      </c>
      <c r="M11">
        <v>11</v>
      </c>
      <c r="N11">
        <v>1</v>
      </c>
      <c r="O11">
        <v>12</v>
      </c>
      <c r="P11">
        <v>12</v>
      </c>
      <c r="Q11">
        <v>0</v>
      </c>
    </row>
    <row r="12" spans="1:17" x14ac:dyDescent="0.4">
      <c r="A12">
        <v>14</v>
      </c>
      <c r="F12">
        <f t="shared" si="0"/>
        <v>9.3000000000000007</v>
      </c>
      <c r="G12">
        <v>25</v>
      </c>
      <c r="H12">
        <v>9.3000001907348633</v>
      </c>
      <c r="I12">
        <v>25</v>
      </c>
      <c r="J12">
        <v>9.3000001907348633</v>
      </c>
      <c r="K12">
        <v>25</v>
      </c>
      <c r="L12">
        <v>9.3000001907348633</v>
      </c>
      <c r="M12">
        <v>25</v>
      </c>
      <c r="N12">
        <v>1</v>
      </c>
      <c r="O12">
        <v>18</v>
      </c>
      <c r="P12">
        <v>18</v>
      </c>
      <c r="Q12">
        <v>0</v>
      </c>
    </row>
    <row r="13" spans="1:17" x14ac:dyDescent="0.4">
      <c r="A13">
        <v>19</v>
      </c>
      <c r="F13">
        <f t="shared" si="0"/>
        <v>10.3</v>
      </c>
      <c r="G13">
        <v>30</v>
      </c>
      <c r="H13">
        <v>10.300000190734863</v>
      </c>
      <c r="I13">
        <v>30</v>
      </c>
      <c r="J13">
        <v>10.300000190734863</v>
      </c>
      <c r="K13">
        <v>30</v>
      </c>
      <c r="L13">
        <v>10.300000190734863</v>
      </c>
      <c r="M13">
        <v>30</v>
      </c>
      <c r="N13">
        <v>1</v>
      </c>
      <c r="O13">
        <v>27.5</v>
      </c>
      <c r="P13">
        <v>27.5</v>
      </c>
      <c r="Q13">
        <v>0</v>
      </c>
    </row>
    <row r="14" spans="1:17" x14ac:dyDescent="0.4">
      <c r="A14" s="55">
        <v>2.9999990463256836</v>
      </c>
      <c r="F14">
        <f t="shared" si="0"/>
        <v>11.3</v>
      </c>
      <c r="G14">
        <v>35</v>
      </c>
      <c r="H14">
        <v>11.300000190734863</v>
      </c>
      <c r="I14">
        <v>35</v>
      </c>
      <c r="J14">
        <v>11.300000190734863</v>
      </c>
      <c r="K14">
        <v>35</v>
      </c>
      <c r="L14">
        <v>11.300000190734863</v>
      </c>
      <c r="M14">
        <v>35</v>
      </c>
      <c r="N14">
        <v>1</v>
      </c>
      <c r="O14">
        <v>32.5</v>
      </c>
      <c r="P14">
        <v>32.5</v>
      </c>
      <c r="Q14">
        <v>0</v>
      </c>
    </row>
    <row r="15" spans="1:17" x14ac:dyDescent="0.4">
      <c r="A15">
        <v>20</v>
      </c>
      <c r="F15">
        <f t="shared" si="0"/>
        <v>12.3</v>
      </c>
      <c r="G15">
        <v>20</v>
      </c>
      <c r="H15">
        <v>12.300000190734863</v>
      </c>
      <c r="I15">
        <v>20</v>
      </c>
      <c r="J15">
        <v>12.300000190734863</v>
      </c>
      <c r="K15">
        <v>20</v>
      </c>
      <c r="L15">
        <v>12.300000190734863</v>
      </c>
      <c r="M15">
        <v>20</v>
      </c>
      <c r="N15">
        <v>1</v>
      </c>
      <c r="O15">
        <v>27.5</v>
      </c>
      <c r="P15">
        <v>27.5</v>
      </c>
      <c r="Q15">
        <v>0</v>
      </c>
    </row>
    <row r="16" spans="1:17" x14ac:dyDescent="0.4">
      <c r="F16">
        <f t="shared" si="0"/>
        <v>13.3</v>
      </c>
      <c r="G16">
        <v>20</v>
      </c>
      <c r="H16">
        <v>13.300000190734863</v>
      </c>
      <c r="I16">
        <v>20</v>
      </c>
      <c r="J16">
        <v>13.300000190734863</v>
      </c>
      <c r="K16">
        <v>20</v>
      </c>
      <c r="L16">
        <v>13.300000190734863</v>
      </c>
      <c r="M16">
        <v>20</v>
      </c>
      <c r="N16">
        <v>1</v>
      </c>
      <c r="O16">
        <v>20</v>
      </c>
      <c r="P16">
        <v>20</v>
      </c>
      <c r="Q16">
        <v>0</v>
      </c>
    </row>
    <row r="17" spans="6:17" x14ac:dyDescent="0.4">
      <c r="F17">
        <f t="shared" si="0"/>
        <v>14.3</v>
      </c>
      <c r="G17">
        <v>20</v>
      </c>
      <c r="H17">
        <v>14.300000190734863</v>
      </c>
      <c r="I17">
        <v>20</v>
      </c>
      <c r="J17">
        <v>13.800000190734863</v>
      </c>
      <c r="K17">
        <v>20</v>
      </c>
      <c r="L17">
        <v>13.800000190734863</v>
      </c>
      <c r="M17">
        <v>20</v>
      </c>
      <c r="N17">
        <v>0.5</v>
      </c>
      <c r="O17">
        <v>20</v>
      </c>
      <c r="P17">
        <v>10</v>
      </c>
      <c r="Q17">
        <v>0</v>
      </c>
    </row>
    <row r="18" spans="6:17" x14ac:dyDescent="0.4">
      <c r="F18">
        <f t="shared" si="0"/>
        <v>15.3</v>
      </c>
      <c r="G18">
        <v>20</v>
      </c>
      <c r="H18">
        <v>15.300000190734863</v>
      </c>
      <c r="I18">
        <v>20</v>
      </c>
      <c r="J18">
        <v>14.300000190734863</v>
      </c>
      <c r="K18">
        <v>20</v>
      </c>
      <c r="L18">
        <v>14.300000190734863</v>
      </c>
      <c r="M18">
        <v>20</v>
      </c>
      <c r="N18">
        <v>0.5</v>
      </c>
      <c r="O18">
        <v>20</v>
      </c>
      <c r="P18">
        <v>10</v>
      </c>
      <c r="Q18">
        <v>10</v>
      </c>
    </row>
    <row r="19" spans="6:17" x14ac:dyDescent="0.4">
      <c r="F19">
        <f t="shared" si="0"/>
        <v>16.3</v>
      </c>
      <c r="G19">
        <v>20</v>
      </c>
      <c r="H19">
        <v>16.200000762939453</v>
      </c>
      <c r="I19">
        <v>20</v>
      </c>
      <c r="J19">
        <v>15.300000190734863</v>
      </c>
      <c r="K19">
        <v>20</v>
      </c>
      <c r="L19">
        <v>15.300000190734863</v>
      </c>
      <c r="M19">
        <v>20</v>
      </c>
      <c r="N19">
        <v>1</v>
      </c>
      <c r="O19">
        <v>20</v>
      </c>
      <c r="P19">
        <v>20</v>
      </c>
      <c r="Q19">
        <v>20</v>
      </c>
    </row>
    <row r="20" spans="6:17" x14ac:dyDescent="0.4">
      <c r="F20">
        <f t="shared" si="0"/>
        <v>17.3</v>
      </c>
      <c r="G20">
        <v>20</v>
      </c>
      <c r="H20">
        <v>16.299999237060547</v>
      </c>
      <c r="I20">
        <v>20</v>
      </c>
      <c r="J20">
        <v>16.200000762939453</v>
      </c>
      <c r="K20">
        <v>20</v>
      </c>
      <c r="L20">
        <v>16.200000762939453</v>
      </c>
      <c r="M20">
        <v>20</v>
      </c>
      <c r="N20">
        <v>0.90000057220458984</v>
      </c>
      <c r="O20">
        <v>20</v>
      </c>
      <c r="P20">
        <v>18.000011444091797</v>
      </c>
      <c r="Q20">
        <v>18.000011444091797</v>
      </c>
    </row>
    <row r="21" spans="6:17" x14ac:dyDescent="0.4">
      <c r="F21">
        <f t="shared" si="0"/>
        <v>18.3</v>
      </c>
      <c r="G21">
        <v>2</v>
      </c>
      <c r="H21">
        <v>17.299999237060547</v>
      </c>
      <c r="I21">
        <v>20</v>
      </c>
      <c r="J21">
        <v>16.299999237060547</v>
      </c>
      <c r="K21">
        <v>20</v>
      </c>
      <c r="L21">
        <v>16.299999237060547</v>
      </c>
      <c r="M21">
        <v>20</v>
      </c>
      <c r="N21">
        <v>9.999847412109375E-2</v>
      </c>
      <c r="O21">
        <v>20</v>
      </c>
      <c r="P21">
        <v>1.999969482421875</v>
      </c>
      <c r="Q21">
        <v>1.999969482421875</v>
      </c>
    </row>
    <row r="22" spans="6:17" x14ac:dyDescent="0.4">
      <c r="F22">
        <f t="shared" si="0"/>
        <v>19.3</v>
      </c>
      <c r="G22">
        <v>2</v>
      </c>
      <c r="H22">
        <v>18.299999237060547</v>
      </c>
      <c r="I22">
        <v>2</v>
      </c>
      <c r="J22">
        <v>17.299999237060547</v>
      </c>
      <c r="K22">
        <v>20</v>
      </c>
      <c r="L22">
        <v>16.799999237060547</v>
      </c>
      <c r="M22">
        <v>20</v>
      </c>
      <c r="N22">
        <v>0.5</v>
      </c>
      <c r="O22">
        <v>20</v>
      </c>
      <c r="P22">
        <v>10</v>
      </c>
      <c r="Q22">
        <v>10</v>
      </c>
    </row>
    <row r="23" spans="6:17" x14ac:dyDescent="0.4">
      <c r="F23">
        <f t="shared" si="0"/>
        <v>20.3</v>
      </c>
      <c r="G23">
        <v>2</v>
      </c>
      <c r="H23">
        <v>19.299999237060547</v>
      </c>
      <c r="I23">
        <v>2</v>
      </c>
      <c r="J23">
        <v>18.299999237060547</v>
      </c>
      <c r="K23">
        <v>2</v>
      </c>
      <c r="L23">
        <v>17.299999237060547</v>
      </c>
      <c r="M23">
        <v>20</v>
      </c>
      <c r="N23">
        <v>0.5</v>
      </c>
      <c r="O23">
        <v>20</v>
      </c>
      <c r="P23">
        <v>10</v>
      </c>
      <c r="Q23">
        <v>0</v>
      </c>
    </row>
    <row r="24" spans="6:17" x14ac:dyDescent="0.4">
      <c r="F24">
        <f t="shared" si="0"/>
        <v>21.3</v>
      </c>
      <c r="G24">
        <v>2</v>
      </c>
      <c r="H24">
        <v>20.299999237060547</v>
      </c>
      <c r="I24">
        <v>2</v>
      </c>
      <c r="J24">
        <v>19.299999237060547</v>
      </c>
      <c r="K24">
        <v>2</v>
      </c>
      <c r="L24">
        <v>18.299999237060547</v>
      </c>
      <c r="M24">
        <v>2</v>
      </c>
      <c r="N24">
        <v>1</v>
      </c>
      <c r="O24">
        <v>11</v>
      </c>
      <c r="P24">
        <v>11</v>
      </c>
      <c r="Q24">
        <v>0</v>
      </c>
    </row>
    <row r="25" spans="6:17" x14ac:dyDescent="0.4">
      <c r="H25">
        <v>21.299999237060547</v>
      </c>
      <c r="I25">
        <v>2</v>
      </c>
      <c r="J25">
        <v>20.299999237060547</v>
      </c>
      <c r="K25">
        <v>2</v>
      </c>
      <c r="L25">
        <v>19.299999237060547</v>
      </c>
      <c r="M25">
        <v>2</v>
      </c>
      <c r="N25">
        <v>1</v>
      </c>
      <c r="O25">
        <v>2</v>
      </c>
      <c r="P25">
        <v>2</v>
      </c>
      <c r="Q25">
        <v>0</v>
      </c>
    </row>
    <row r="26" spans="6:17" x14ac:dyDescent="0.4">
      <c r="J26">
        <v>21.299999237060547</v>
      </c>
      <c r="K26">
        <v>2</v>
      </c>
      <c r="L26">
        <v>20.299999237060547</v>
      </c>
      <c r="M26">
        <v>2</v>
      </c>
      <c r="N26">
        <v>1</v>
      </c>
      <c r="O26">
        <v>2</v>
      </c>
      <c r="P26">
        <v>2</v>
      </c>
      <c r="Q26">
        <v>0</v>
      </c>
    </row>
    <row r="27" spans="6:17" x14ac:dyDescent="0.4">
      <c r="L27">
        <v>21.299999237060547</v>
      </c>
      <c r="M27">
        <v>2</v>
      </c>
      <c r="N27">
        <v>1</v>
      </c>
      <c r="O27">
        <v>2</v>
      </c>
      <c r="P27">
        <v>2</v>
      </c>
      <c r="Q27">
        <v>0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2222-6C35-4C00-A6DB-0B41E6A13830}">
  <sheetPr codeName="Sheet2"/>
  <dimension ref="A1:P16"/>
  <sheetViews>
    <sheetView workbookViewId="0">
      <selection activeCell="B7" sqref="B7"/>
    </sheetView>
  </sheetViews>
  <sheetFormatPr defaultRowHeight="18.75" x14ac:dyDescent="0.4"/>
  <cols>
    <col min="5" max="5" width="9.375" bestFit="1" customWidth="1"/>
  </cols>
  <sheetData>
    <row r="1" spans="1:16" x14ac:dyDescent="0.4">
      <c r="A1" t="s">
        <v>90</v>
      </c>
      <c r="B1">
        <v>1.5</v>
      </c>
    </row>
    <row r="2" spans="1:16" x14ac:dyDescent="0.4">
      <c r="A2" t="s">
        <v>69</v>
      </c>
      <c r="B2">
        <v>3</v>
      </c>
      <c r="K2" t="s">
        <v>95</v>
      </c>
    </row>
    <row r="3" spans="1:16" x14ac:dyDescent="0.25">
      <c r="A3" t="s">
        <v>63</v>
      </c>
      <c r="B3" s="16">
        <f>COUNT(B4:B7)</f>
        <v>4</v>
      </c>
      <c r="C3" s="40" t="s">
        <v>58</v>
      </c>
      <c r="E3" s="40" t="s">
        <v>59</v>
      </c>
      <c r="F3" s="40" t="s">
        <v>91</v>
      </c>
      <c r="H3" s="52" t="s">
        <v>92</v>
      </c>
      <c r="J3" s="40" t="s">
        <v>91</v>
      </c>
      <c r="K3" t="s">
        <v>96</v>
      </c>
      <c r="L3" s="40" t="s">
        <v>59</v>
      </c>
      <c r="M3" t="s">
        <v>97</v>
      </c>
      <c r="O3" t="s">
        <v>93</v>
      </c>
      <c r="P3" t="s">
        <v>94</v>
      </c>
    </row>
    <row r="4" spans="1:16" x14ac:dyDescent="0.25">
      <c r="B4" s="16">
        <v>1</v>
      </c>
      <c r="C4" s="40" t="s">
        <v>60</v>
      </c>
      <c r="D4">
        <v>16</v>
      </c>
      <c r="E4" s="40">
        <v>0.6</v>
      </c>
      <c r="F4">
        <f>E4</f>
        <v>0.6</v>
      </c>
      <c r="H4" t="s">
        <v>115</v>
      </c>
      <c r="I4" t="s">
        <v>114</v>
      </c>
      <c r="J4">
        <v>0.60000002384185791</v>
      </c>
      <c r="K4">
        <v>16</v>
      </c>
      <c r="L4">
        <v>0.60000002384185791</v>
      </c>
      <c r="M4">
        <v>9.6000003814697266</v>
      </c>
      <c r="O4">
        <v>8.8661413192749023</v>
      </c>
      <c r="P4">
        <v>17.19999885559082</v>
      </c>
    </row>
    <row r="5" spans="1:16" x14ac:dyDescent="0.25">
      <c r="B5" s="16">
        <v>2</v>
      </c>
      <c r="C5" s="40" t="s">
        <v>61</v>
      </c>
      <c r="D5">
        <v>18</v>
      </c>
      <c r="E5" s="40">
        <v>2.8</v>
      </c>
      <c r="F5">
        <f>E5+F4</f>
        <v>3.4</v>
      </c>
      <c r="H5" t="s">
        <v>117</v>
      </c>
      <c r="I5" t="s">
        <v>116</v>
      </c>
      <c r="J5">
        <v>1.5</v>
      </c>
      <c r="K5">
        <v>18</v>
      </c>
      <c r="L5">
        <v>0.89999997615814209</v>
      </c>
      <c r="M5">
        <v>16.19999885559082</v>
      </c>
    </row>
    <row r="6" spans="1:16" x14ac:dyDescent="0.25">
      <c r="B6" s="16">
        <v>3</v>
      </c>
      <c r="C6" s="40" t="s">
        <v>61</v>
      </c>
      <c r="D6">
        <v>18</v>
      </c>
      <c r="E6" s="40">
        <v>8.8000000000000007</v>
      </c>
      <c r="F6">
        <f t="shared" ref="F6:F7" si="0">E6+F5</f>
        <v>12.200000000000001</v>
      </c>
      <c r="H6" t="s">
        <v>117</v>
      </c>
      <c r="I6" t="s">
        <v>118</v>
      </c>
      <c r="J6">
        <v>3</v>
      </c>
      <c r="K6">
        <v>18</v>
      </c>
      <c r="L6">
        <v>1.5</v>
      </c>
      <c r="M6">
        <v>27</v>
      </c>
    </row>
    <row r="7" spans="1:16" x14ac:dyDescent="0.25">
      <c r="B7" s="16">
        <v>4</v>
      </c>
      <c r="C7" s="40" t="s">
        <v>62</v>
      </c>
      <c r="D7">
        <v>16</v>
      </c>
      <c r="E7" s="40">
        <v>2</v>
      </c>
      <c r="F7">
        <f t="shared" si="0"/>
        <v>14.200000000000001</v>
      </c>
      <c r="H7" t="s">
        <v>117</v>
      </c>
      <c r="I7" t="s">
        <v>114</v>
      </c>
      <c r="J7">
        <v>3.4000000953674316</v>
      </c>
      <c r="K7">
        <v>8</v>
      </c>
      <c r="L7">
        <v>0.40000009536743164</v>
      </c>
      <c r="M7">
        <v>3.2000007629394531</v>
      </c>
    </row>
    <row r="8" spans="1:16" x14ac:dyDescent="0.4">
      <c r="H8" t="s">
        <v>117</v>
      </c>
      <c r="I8" t="s">
        <v>114</v>
      </c>
      <c r="J8">
        <v>12.199999809265137</v>
      </c>
      <c r="K8">
        <v>8</v>
      </c>
      <c r="L8">
        <v>8.7999992370605469</v>
      </c>
      <c r="M8">
        <v>70.399993896484375</v>
      </c>
    </row>
    <row r="9" spans="1:16" x14ac:dyDescent="0.4">
      <c r="H9" t="s">
        <v>119</v>
      </c>
      <c r="I9" t="s">
        <v>114</v>
      </c>
      <c r="J9">
        <v>14.199999809265137</v>
      </c>
      <c r="K9">
        <v>6</v>
      </c>
      <c r="L9">
        <v>2</v>
      </c>
      <c r="M9">
        <v>12</v>
      </c>
    </row>
    <row r="11" spans="1:16" x14ac:dyDescent="0.4">
      <c r="A11">
        <v>1</v>
      </c>
      <c r="B11">
        <v>2</v>
      </c>
      <c r="C11">
        <v>3</v>
      </c>
      <c r="D11">
        <v>4</v>
      </c>
      <c r="E11">
        <v>5</v>
      </c>
      <c r="F11">
        <v>6</v>
      </c>
      <c r="G11">
        <v>7</v>
      </c>
      <c r="H11">
        <v>8</v>
      </c>
      <c r="I11">
        <v>9</v>
      </c>
      <c r="J11">
        <v>10</v>
      </c>
      <c r="K11">
        <v>11</v>
      </c>
      <c r="L11">
        <v>12</v>
      </c>
      <c r="M11">
        <v>13</v>
      </c>
      <c r="N11">
        <v>14</v>
      </c>
      <c r="O11">
        <v>15</v>
      </c>
      <c r="P11">
        <v>16</v>
      </c>
    </row>
    <row r="14" spans="1:16" x14ac:dyDescent="0.4">
      <c r="L14">
        <v>2020</v>
      </c>
    </row>
    <row r="15" spans="1:16" x14ac:dyDescent="0.4">
      <c r="B15">
        <v>2</v>
      </c>
      <c r="L15">
        <v>1964</v>
      </c>
    </row>
    <row r="16" spans="1:16" x14ac:dyDescent="0.4">
      <c r="L16">
        <f>L14-L15</f>
        <v>56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E394-4E2E-4BA2-8C76-157B8BFEED59}">
  <sheetPr codeName="Sheet5"/>
  <dimension ref="A1:T52"/>
  <sheetViews>
    <sheetView topLeftCell="A31" workbookViewId="0">
      <selection activeCell="K11" sqref="K11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 cm="1">
        <f t="array" ref="C20">kisoline(C22,C23,C21,C24,C25,C26,C27,C28)</f>
        <v>基礎形状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100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100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D8C11B45-EAF3-49D7-83B8-FD0A0B7B2DFA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D4C56-8FF9-42C3-9B06-79C945061FFD}">
  <sheetPr codeName="Sheet6"/>
  <dimension ref="A1:T45"/>
  <sheetViews>
    <sheetView topLeftCell="A34" workbookViewId="0">
      <selection activeCell="F43" sqref="F43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 t="s">
        <v>86</v>
      </c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/>
    </row>
    <row r="5" spans="1:20" x14ac:dyDescent="0.25">
      <c r="A5" s="9"/>
      <c r="B5" s="9"/>
      <c r="C5" s="13"/>
      <c r="D5" s="13"/>
      <c r="E5" s="13"/>
      <c r="F5" s="13"/>
      <c r="J5" s="16" t="s">
        <v>55</v>
      </c>
      <c r="K5" s="18" t="s">
        <v>56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2.4025137318992194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5.7977091549474586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J16" s="16" t="s">
        <v>18</v>
      </c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53</v>
      </c>
      <c r="K17" s="36">
        <f>1+0.2*D23/D24</f>
        <v>1.1000000000000001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54</v>
      </c>
      <c r="K18" s="36">
        <f>0.5-0.2*D23/D24</f>
        <v>0.4</v>
      </c>
      <c r="N18" s="9"/>
    </row>
    <row r="19" spans="1:20" x14ac:dyDescent="0.25">
      <c r="A19" s="9"/>
      <c r="N19" s="9"/>
    </row>
    <row r="20" spans="1:20" x14ac:dyDescent="0.25">
      <c r="D20" s="4" t="str" cm="1">
        <f t="array" ref="D20">niso_jiban(D23,D24,D22,D21,K10)</f>
        <v>寸法</v>
      </c>
      <c r="G20" s="6" t="str">
        <f>input!C3</f>
        <v>土質</v>
      </c>
      <c r="H20" s="6">
        <f>input!D3</f>
        <v>0</v>
      </c>
      <c r="O20" s="13"/>
      <c r="P20" s="13"/>
    </row>
    <row r="21" spans="1:20" x14ac:dyDescent="0.25">
      <c r="C21" s="15" t="s">
        <v>65</v>
      </c>
      <c r="D21" s="45">
        <v>11500</v>
      </c>
      <c r="E21" s="6" t="s">
        <v>87</v>
      </c>
      <c r="G21" s="6" t="str">
        <f>input!C4</f>
        <v>埋め土</v>
      </c>
      <c r="H21" s="6">
        <f>input!D4</f>
        <v>16</v>
      </c>
      <c r="O21" s="16"/>
      <c r="P21" s="40"/>
      <c r="Q21" s="40"/>
      <c r="S21" s="40"/>
    </row>
    <row r="22" spans="1:20" x14ac:dyDescent="0.25">
      <c r="C22" s="15" t="s">
        <v>1</v>
      </c>
      <c r="D22" s="37">
        <v>9500</v>
      </c>
      <c r="E22" s="6" t="s">
        <v>87</v>
      </c>
      <c r="G22" s="6" t="str">
        <f>input!C5</f>
        <v>砂</v>
      </c>
      <c r="H22" s="6">
        <f>input!D5</f>
        <v>18</v>
      </c>
      <c r="O22" s="16"/>
      <c r="P22" s="40"/>
      <c r="Q22" s="40"/>
      <c r="S22" s="40"/>
    </row>
    <row r="23" spans="1:20" x14ac:dyDescent="0.25">
      <c r="C23" s="20" t="s">
        <v>4</v>
      </c>
      <c r="D23" s="37">
        <v>1000</v>
      </c>
      <c r="E23" s="6" t="s">
        <v>87</v>
      </c>
      <c r="G23" s="6" t="str">
        <f>input!C6</f>
        <v>砂</v>
      </c>
      <c r="H23" s="6">
        <f>input!D6</f>
        <v>18</v>
      </c>
      <c r="O23" s="16"/>
      <c r="P23" s="40"/>
      <c r="Q23" s="40"/>
      <c r="S23" s="40"/>
    </row>
    <row r="24" spans="1:20" x14ac:dyDescent="0.25">
      <c r="C24" s="20" t="s">
        <v>47</v>
      </c>
      <c r="D24" s="37">
        <v>2000</v>
      </c>
      <c r="E24" s="6" t="s">
        <v>87</v>
      </c>
      <c r="G24" s="6" t="str">
        <f>input!C7</f>
        <v>粘土</v>
      </c>
      <c r="H24" s="6">
        <f>input!D7</f>
        <v>16</v>
      </c>
      <c r="O24" s="16"/>
      <c r="P24" s="40"/>
      <c r="Q24" s="40"/>
      <c r="S24" s="40"/>
    </row>
    <row r="25" spans="1:20" x14ac:dyDescent="0.25">
      <c r="C25" s="15" t="s">
        <v>71</v>
      </c>
      <c r="D25" s="16">
        <f>D23+D21-D22</f>
        <v>3000</v>
      </c>
      <c r="E25" s="6" t="s">
        <v>87</v>
      </c>
      <c r="O25" s="16"/>
      <c r="P25" s="40"/>
      <c r="Q25" s="40"/>
      <c r="S25" s="40"/>
    </row>
    <row r="26" spans="1:20" x14ac:dyDescent="0.25">
      <c r="C26" s="15" t="s">
        <v>72</v>
      </c>
      <c r="D26" s="16">
        <f>D24+D21-D22</f>
        <v>4000</v>
      </c>
      <c r="E26" s="6" t="s">
        <v>87</v>
      </c>
      <c r="S26" s="3"/>
    </row>
    <row r="27" spans="1:20" x14ac:dyDescent="0.25">
      <c r="A27" s="7"/>
      <c r="B27" s="15"/>
      <c r="C27" s="15" t="s">
        <v>73</v>
      </c>
      <c r="D27" s="53">
        <f>D23*D24/(D25*D26)</f>
        <v>0.16666666666666666</v>
      </c>
      <c r="P27" s="15"/>
    </row>
    <row r="28" spans="1:20" x14ac:dyDescent="0.25">
      <c r="A28" s="7"/>
      <c r="B28" s="15"/>
      <c r="C28" s="42" t="s">
        <v>66</v>
      </c>
      <c r="D28" s="45">
        <v>180</v>
      </c>
      <c r="E28" s="6" t="s">
        <v>88</v>
      </c>
      <c r="G28" s="3" t="s">
        <v>83</v>
      </c>
      <c r="N28" s="7"/>
    </row>
    <row r="29" spans="1:20" x14ac:dyDescent="0.25">
      <c r="A29" s="7"/>
      <c r="B29" s="7"/>
      <c r="C29" s="42" t="s">
        <v>67</v>
      </c>
      <c r="D29" s="46">
        <f>H30</f>
        <v>16</v>
      </c>
      <c r="E29" s="6" t="s">
        <v>89</v>
      </c>
      <c r="G29" s="4" t="s">
        <v>19</v>
      </c>
      <c r="H29" s="35">
        <v>16</v>
      </c>
      <c r="I29" s="5" t="s">
        <v>20</v>
      </c>
      <c r="J29" s="3" t="s">
        <v>84</v>
      </c>
      <c r="N29" s="7"/>
    </row>
    <row r="30" spans="1:20" x14ac:dyDescent="0.25">
      <c r="A30" s="7"/>
      <c r="B30" s="7"/>
      <c r="C30" s="42" t="s">
        <v>68</v>
      </c>
      <c r="D30" s="45">
        <v>0</v>
      </c>
      <c r="E30" s="6" t="s">
        <v>88</v>
      </c>
      <c r="G30" s="4" t="s">
        <v>22</v>
      </c>
      <c r="H30" s="35">
        <v>16</v>
      </c>
      <c r="I30" s="5" t="s">
        <v>20</v>
      </c>
      <c r="J30" s="3" t="s">
        <v>85</v>
      </c>
      <c r="N30" s="7"/>
    </row>
    <row r="31" spans="1:20" x14ac:dyDescent="0.25">
      <c r="A31" s="7"/>
      <c r="C31" s="42" t="s">
        <v>70</v>
      </c>
      <c r="D31" s="45">
        <f>D29*D21/1000</f>
        <v>184</v>
      </c>
      <c r="E31" s="6" t="s">
        <v>88</v>
      </c>
    </row>
    <row r="32" spans="1:20" x14ac:dyDescent="0.25">
      <c r="A32" s="7"/>
      <c r="C32" s="42" t="s">
        <v>74</v>
      </c>
      <c r="D32" s="44" t="s">
        <v>75</v>
      </c>
      <c r="J32" s="4"/>
      <c r="K32" s="34"/>
    </row>
    <row r="33" spans="1:14" x14ac:dyDescent="0.25">
      <c r="A33" s="7"/>
      <c r="C33" s="42" t="s">
        <v>74</v>
      </c>
      <c r="D33" s="47">
        <f>D27*(D28-D30)+D31</f>
        <v>214</v>
      </c>
      <c r="E33" s="6" t="s">
        <v>88</v>
      </c>
      <c r="J33" s="4"/>
      <c r="K33" s="34"/>
      <c r="M33" s="3"/>
    </row>
    <row r="34" spans="1:14" x14ac:dyDescent="0.25">
      <c r="A34" s="7"/>
      <c r="M34" s="12"/>
      <c r="N34" s="7"/>
    </row>
    <row r="35" spans="1:14" x14ac:dyDescent="0.25">
      <c r="A35" s="7"/>
      <c r="C35" s="7" t="s">
        <v>81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34</v>
      </c>
      <c r="D36" s="5" t="s">
        <v>57</v>
      </c>
      <c r="E36" s="3"/>
      <c r="F36" s="3"/>
      <c r="G36" s="3"/>
      <c r="H36" s="3"/>
      <c r="I36" s="3"/>
      <c r="J36" s="3"/>
      <c r="K36" s="3"/>
    </row>
    <row r="37" spans="1:14" x14ac:dyDescent="0.25">
      <c r="A37" s="7"/>
      <c r="C37" s="31" t="s">
        <v>34</v>
      </c>
      <c r="D37" s="3" t="s">
        <v>35</v>
      </c>
      <c r="E37" s="32">
        <f>K17*K8*K13</f>
        <v>0</v>
      </c>
      <c r="F37" s="2" t="s">
        <v>36</v>
      </c>
      <c r="G37" s="32">
        <f>K18*H29*D23/1000*K14</f>
        <v>15.376087884155005</v>
      </c>
      <c r="H37" s="2" t="s">
        <v>36</v>
      </c>
      <c r="I37" s="43">
        <f>H30*D21/1000*K15</f>
        <v>1066.7784845103324</v>
      </c>
      <c r="J37" s="7" t="s">
        <v>37</v>
      </c>
      <c r="K37" s="33">
        <f>ROUND(1/3*(E37+G37+I37),1)</f>
        <v>360.7</v>
      </c>
      <c r="L37" s="30" t="s">
        <v>41</v>
      </c>
      <c r="M37" s="12"/>
      <c r="N37" s="7"/>
    </row>
    <row r="38" spans="1:14" x14ac:dyDescent="0.25">
      <c r="A38" s="7"/>
      <c r="M38" s="12"/>
      <c r="N38" s="7"/>
    </row>
    <row r="39" spans="1:14" x14ac:dyDescent="0.25">
      <c r="A39" s="7"/>
      <c r="C39" s="7" t="s">
        <v>82</v>
      </c>
      <c r="D39" s="7"/>
      <c r="E39" s="7"/>
      <c r="F39" s="7"/>
      <c r="G39" s="7"/>
      <c r="H39" s="7"/>
      <c r="I39" s="7"/>
      <c r="J39" s="7"/>
      <c r="K39" s="7"/>
      <c r="L39" s="7"/>
      <c r="M39" s="30"/>
      <c r="N39" s="7"/>
    </row>
    <row r="40" spans="1:14" x14ac:dyDescent="0.25">
      <c r="A40" s="7"/>
      <c r="C40" s="31"/>
      <c r="D40" s="3"/>
      <c r="E40" s="32"/>
      <c r="F40" s="2"/>
      <c r="G40" s="32"/>
      <c r="H40" s="2"/>
      <c r="J40" s="41" t="s">
        <v>64</v>
      </c>
      <c r="K40" s="33">
        <f>K37*2</f>
        <v>721.4</v>
      </c>
      <c r="L40" s="30" t="s">
        <v>41</v>
      </c>
      <c r="M40" s="12"/>
      <c r="N40" s="7"/>
    </row>
    <row r="41" spans="1:14" x14ac:dyDescent="0.25">
      <c r="A41" s="7"/>
      <c r="B41" s="7"/>
      <c r="C41" s="7"/>
      <c r="D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C42" s="6" t="s">
        <v>80</v>
      </c>
      <c r="F42" s="47"/>
      <c r="G42" s="47"/>
      <c r="H42" s="47"/>
      <c r="M42" s="12"/>
      <c r="N42" s="7"/>
    </row>
    <row r="43" spans="1:14" x14ac:dyDescent="0.25">
      <c r="A43" s="7"/>
      <c r="B43" s="7"/>
      <c r="D43" s="47" t="s">
        <v>76</v>
      </c>
      <c r="F43" s="6" t="s">
        <v>78</v>
      </c>
      <c r="G43" s="6" t="str">
        <f>_xlfn.TEXTJOIN(,,D33,"/",K37,"=",ROUND(D33/K37,3),IF(D33/K37&lt;1,"&lt;1・・・・OK","NG"))</f>
        <v>214/360.7=0.593&lt;1・・・・OK</v>
      </c>
      <c r="M43" s="12"/>
      <c r="N43" s="7"/>
    </row>
    <row r="44" spans="1:14" x14ac:dyDescent="0.25">
      <c r="A44" s="7"/>
      <c r="B44" s="7"/>
      <c r="C44" s="7"/>
      <c r="D44" s="7"/>
      <c r="G44" s="47"/>
      <c r="H44" s="48"/>
      <c r="I44" s="50"/>
      <c r="J44" s="7"/>
      <c r="K44" s="7"/>
      <c r="L44" s="7"/>
      <c r="M44" s="12"/>
      <c r="N44" s="7"/>
    </row>
    <row r="45" spans="1:14" x14ac:dyDescent="0.25">
      <c r="A45" s="7"/>
      <c r="B45" s="7"/>
      <c r="C45" s="7"/>
      <c r="D45" s="12" t="s">
        <v>77</v>
      </c>
      <c r="F45" s="4" t="s">
        <v>79</v>
      </c>
      <c r="G45" s="51" t="str">
        <f>_xlfn.TEXTJOIN(,,"2*",D33,"/",K40,"=",ROUND(2*D33/K40,3),IF(2*D33/K40&lt;1,"&lt;1・・・・OK","NG"))</f>
        <v>2*214/721.4=0.593&lt;1・・・・OK</v>
      </c>
      <c r="H45" s="49"/>
      <c r="I45" s="50"/>
      <c r="J45" s="7"/>
      <c r="K45" s="7"/>
      <c r="L45" s="7"/>
      <c r="M45" s="12"/>
      <c r="N45" s="7"/>
    </row>
  </sheetData>
  <phoneticPr fontId="2"/>
  <dataValidations count="1">
    <dataValidation type="list" allowBlank="1" showInputMessage="1" showErrorMessage="1" sqref="K5" xr:uid="{C02F7C4A-06C3-4653-9A4F-9BA5934E73E8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 _pile</vt:lpstr>
      <vt:lpstr>input</vt:lpstr>
      <vt:lpstr>直接基礎</vt:lpstr>
      <vt:lpstr>二層地盤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Makoto Matsushita</cp:lastModifiedBy>
  <cp:lastPrinted>2020-11-12T11:43:56Z</cp:lastPrinted>
  <dcterms:created xsi:type="dcterms:W3CDTF">2020-07-08T04:03:42Z</dcterms:created>
  <dcterms:modified xsi:type="dcterms:W3CDTF">2020-11-25T04:25:48Z</dcterms:modified>
</cp:coreProperties>
</file>