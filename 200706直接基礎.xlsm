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0025134\github\excel_foudation\"/>
    </mc:Choice>
  </mc:AlternateContent>
  <xr:revisionPtr revIDLastSave="0" documentId="10_ncr:100000_{81FC8998-7FE8-43B8-8D7F-C68BA4F3B943}" xr6:coauthVersionLast="31" xr6:coauthVersionMax="45" xr10:uidLastSave="{00000000-0000-0000-0000-000000000000}"/>
  <bookViews>
    <workbookView xWindow="-120" yWindow="-120" windowWidth="20730" windowHeight="11160" activeTab="3" xr2:uid="{FE712974-A990-474E-9082-08B877A1FB98}"/>
  </bookViews>
  <sheets>
    <sheet name="Sheet1" sheetId="1" r:id="rId1"/>
    <sheet name="input" sheetId="4" r:id="rId2"/>
    <sheet name="Sheet1 (2)" sheetId="3" r:id="rId3"/>
    <sheet name="Sheet2" sheetId="5" r:id="rId4"/>
  </sheets>
  <functionGroups builtInGroupCount="19"/>
  <calcPr calcId="179017" iterate="1" iterateCount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1" i="3" l="1"/>
  <c r="F5" i="4" l="1"/>
  <c r="F6" i="4" s="1"/>
  <c r="F7" i="4" s="1"/>
  <c r="F4" i="4"/>
  <c r="B3" i="4"/>
  <c r="F20" i="3"/>
  <c r="J23" i="3" l="1"/>
  <c r="J24" i="3"/>
  <c r="J22" i="3"/>
  <c r="J21" i="3"/>
  <c r="F30" i="3"/>
  <c r="F29" i="3"/>
  <c r="H19" i="3"/>
  <c r="F24" i="3" l="1"/>
  <c r="F25" i="3"/>
  <c r="K17" i="3"/>
  <c r="C20" i="1"/>
  <c r="F26" i="3" l="1"/>
  <c r="F31" i="3" s="1"/>
  <c r="K18" i="3" l="1"/>
  <c r="K8" i="3"/>
  <c r="K7" i="3"/>
  <c r="F24" i="1"/>
  <c r="F25" i="1"/>
  <c r="K19" i="1"/>
  <c r="K18" i="1"/>
  <c r="H34" i="1"/>
  <c r="I34" i="1" s="1"/>
  <c r="J34" i="1" s="1"/>
  <c r="H33" i="1"/>
  <c r="I33" i="1" s="1"/>
  <c r="J33" i="1" s="1"/>
  <c r="K8" i="1"/>
  <c r="K7" i="1"/>
  <c r="K13" i="1"/>
  <c r="K13" i="3"/>
  <c r="K14" i="3"/>
  <c r="K15" i="1"/>
  <c r="K14" i="1"/>
  <c r="K15" i="3"/>
  <c r="I37" i="3" l="1"/>
  <c r="G37" i="3"/>
  <c r="E37" i="3"/>
  <c r="E39" i="1"/>
  <c r="I43" i="1"/>
  <c r="E43" i="1"/>
  <c r="I39" i="1"/>
  <c r="K34" i="1"/>
  <c r="G43" i="1" s="1"/>
  <c r="K33" i="1"/>
  <c r="G39" i="1" s="1"/>
  <c r="K37" i="3" l="1"/>
  <c r="K40" i="3" s="1"/>
  <c r="K43" i="1"/>
  <c r="K39" i="1"/>
</calcChain>
</file>

<file path=xl/sharedStrings.xml><?xml version="1.0" encoding="utf-8"?>
<sst xmlns="http://schemas.openxmlformats.org/spreadsheetml/2006/main" count="136" uniqueCount="77">
  <si>
    <t xml:space="preserve"> </t>
  </si>
  <si>
    <t xml:space="preserve">  Df=</t>
  </si>
  <si>
    <t>mm</t>
    <phoneticPr fontId="3"/>
  </si>
  <si>
    <t>ボーリングNO：</t>
    <phoneticPr fontId="3"/>
  </si>
  <si>
    <t xml:space="preserve">   B=</t>
    <phoneticPr fontId="3"/>
  </si>
  <si>
    <t>支持層：</t>
    <phoneticPr fontId="3"/>
  </si>
  <si>
    <t>Ｎ値：</t>
    <phoneticPr fontId="3"/>
  </si>
  <si>
    <t>D=</t>
    <phoneticPr fontId="4"/>
  </si>
  <si>
    <t>CB=</t>
    <phoneticPr fontId="4"/>
  </si>
  <si>
    <t xml:space="preserve">   ￠=ﾙｰﾄ(20N)+15°=</t>
  </si>
  <si>
    <t>CD=</t>
    <phoneticPr fontId="4"/>
  </si>
  <si>
    <t xml:space="preserve">   C= 6.25N =</t>
    <phoneticPr fontId="3"/>
  </si>
  <si>
    <t>eX=</t>
    <phoneticPr fontId="4"/>
  </si>
  <si>
    <t>eY=</t>
    <phoneticPr fontId="4"/>
  </si>
  <si>
    <t>○支持力係数</t>
  </si>
  <si>
    <t>　　Ｎｃ=</t>
  </si>
  <si>
    <t>　　Ｎｒ=</t>
  </si>
  <si>
    <t>　　Ｎｑ=</t>
  </si>
  <si>
    <t xml:space="preserve">○形状係数  </t>
    <phoneticPr fontId="3"/>
  </si>
  <si>
    <t>γ１=</t>
    <phoneticPr fontId="3"/>
  </si>
  <si>
    <t>kN/m3</t>
    <phoneticPr fontId="3"/>
  </si>
  <si>
    <t>(基礎底面下土平均単位体積重量）</t>
    <rPh sb="1" eb="3">
      <t>キソ</t>
    </rPh>
    <rPh sb="3" eb="5">
      <t>テイメン</t>
    </rPh>
    <rPh sb="5" eb="6">
      <t>カ</t>
    </rPh>
    <rPh sb="6" eb="7">
      <t>ツチ</t>
    </rPh>
    <rPh sb="7" eb="9">
      <t>ヘイキン</t>
    </rPh>
    <rPh sb="9" eb="11">
      <t>タンイ</t>
    </rPh>
    <rPh sb="11" eb="13">
      <t>タイセキ</t>
    </rPh>
    <rPh sb="13" eb="15">
      <t>ジュウリョウ</t>
    </rPh>
    <phoneticPr fontId="3"/>
  </si>
  <si>
    <t>γ２=</t>
    <phoneticPr fontId="3"/>
  </si>
  <si>
    <t>(基礎底面上土平均単位体積重量）</t>
    <rPh sb="1" eb="3">
      <t>キソ</t>
    </rPh>
    <rPh sb="3" eb="5">
      <t>テイメン</t>
    </rPh>
    <rPh sb="5" eb="6">
      <t>ウエ</t>
    </rPh>
    <rPh sb="6" eb="7">
      <t>ツチ</t>
    </rPh>
    <rPh sb="7" eb="9">
      <t>ヘイキン</t>
    </rPh>
    <rPh sb="9" eb="11">
      <t>タンイ</t>
    </rPh>
    <rPh sb="11" eb="13">
      <t>タイセキ</t>
    </rPh>
    <rPh sb="13" eb="15">
      <t>ジュウリョウ</t>
    </rPh>
    <phoneticPr fontId="3"/>
  </si>
  <si>
    <t>○斜め荷重の影響</t>
    <rPh sb="1" eb="2">
      <t>ナナ</t>
    </rPh>
    <rPh sb="3" eb="5">
      <t>カジュウ</t>
    </rPh>
    <rPh sb="6" eb="8">
      <t>エイキョウ</t>
    </rPh>
    <phoneticPr fontId="3"/>
  </si>
  <si>
    <t>N</t>
    <phoneticPr fontId="4"/>
  </si>
  <si>
    <t>H</t>
    <phoneticPr fontId="4"/>
  </si>
  <si>
    <t>N/H</t>
    <phoneticPr fontId="4"/>
  </si>
  <si>
    <t>θ</t>
    <phoneticPr fontId="5"/>
  </si>
  <si>
    <t>ic,iq</t>
    <phoneticPr fontId="5"/>
  </si>
  <si>
    <t>ir</t>
    <phoneticPr fontId="5"/>
  </si>
  <si>
    <t>長期</t>
    <rPh sb="0" eb="2">
      <t>チョウキ</t>
    </rPh>
    <phoneticPr fontId="4"/>
  </si>
  <si>
    <t>短期</t>
    <rPh sb="0" eb="2">
      <t>タンキ</t>
    </rPh>
    <phoneticPr fontId="4"/>
  </si>
  <si>
    <t>（1）長期，地盤の許容応力度</t>
    <rPh sb="3" eb="5">
      <t>チョウキ</t>
    </rPh>
    <phoneticPr fontId="4"/>
  </si>
  <si>
    <t>lｑa=</t>
    <phoneticPr fontId="3"/>
  </si>
  <si>
    <t>1/3 x (</t>
  </si>
  <si>
    <t>+</t>
  </si>
  <si>
    <t xml:space="preserve"> )   =</t>
    <phoneticPr fontId="4"/>
  </si>
  <si>
    <t>（2）短期期，地盤の許容応力度</t>
    <rPh sb="3" eb="5">
      <t>タンキ</t>
    </rPh>
    <rPh sb="5" eb="6">
      <t>キ</t>
    </rPh>
    <phoneticPr fontId="4"/>
  </si>
  <si>
    <t>sｑa=</t>
    <phoneticPr fontId="3"/>
  </si>
  <si>
    <t>2/3 x (</t>
    <phoneticPr fontId="4"/>
  </si>
  <si>
    <t>kN／㎡</t>
    <phoneticPr fontId="3"/>
  </si>
  <si>
    <t>上記の結果により、設計地耐力を</t>
  </si>
  <si>
    <t>kN／㎡（長期）</t>
    <phoneticPr fontId="3"/>
  </si>
  <si>
    <t>kN／㎡（短期）とする。</t>
    <rPh sb="5" eb="6">
      <t>タン</t>
    </rPh>
    <phoneticPr fontId="3"/>
  </si>
  <si>
    <t>水位　GL-</t>
    <rPh sb="0" eb="2">
      <t>スイイ</t>
    </rPh>
    <phoneticPr fontId="4"/>
  </si>
  <si>
    <t>粘性土</t>
  </si>
  <si>
    <t>L=</t>
    <phoneticPr fontId="2"/>
  </si>
  <si>
    <r>
      <t>1/3(</t>
    </r>
    <r>
      <rPr>
        <sz val="11"/>
        <color indexed="10"/>
        <rFont val="Meiryo UI"/>
        <family val="3"/>
        <charset val="128"/>
      </rPr>
      <t>ic</t>
    </r>
    <r>
      <rPr>
        <sz val="11"/>
        <rFont val="Meiryo UI"/>
        <family val="3"/>
        <charset val="128"/>
      </rPr>
      <t>αCNc+</t>
    </r>
    <r>
      <rPr>
        <sz val="11"/>
        <color indexed="10"/>
        <rFont val="Meiryo UI"/>
        <family val="3"/>
        <charset val="128"/>
      </rPr>
      <t>ir</t>
    </r>
    <r>
      <rPr>
        <sz val="11"/>
        <rFont val="Meiryo UI"/>
        <family val="3"/>
        <charset val="128"/>
      </rPr>
      <t>βγ1BNr+</t>
    </r>
    <r>
      <rPr>
        <sz val="11"/>
        <color indexed="10"/>
        <rFont val="Meiryo UI"/>
        <family val="3"/>
        <charset val="128"/>
      </rPr>
      <t>iq</t>
    </r>
    <r>
      <rPr>
        <sz val="11"/>
        <rFont val="Meiryo UI"/>
        <family val="3"/>
        <charset val="128"/>
      </rPr>
      <t>γ2DfNq)    　[kN/㎡]</t>
    </r>
    <phoneticPr fontId="3"/>
  </si>
  <si>
    <r>
      <t>2/3(</t>
    </r>
    <r>
      <rPr>
        <sz val="11"/>
        <color indexed="10"/>
        <rFont val="Meiryo UI"/>
        <family val="3"/>
        <charset val="128"/>
      </rPr>
      <t>ic</t>
    </r>
    <r>
      <rPr>
        <sz val="11"/>
        <rFont val="Meiryo UI"/>
        <family val="3"/>
        <charset val="128"/>
      </rPr>
      <t>αCNc+</t>
    </r>
    <r>
      <rPr>
        <sz val="11"/>
        <color indexed="10"/>
        <rFont val="Meiryo UI"/>
        <family val="3"/>
        <charset val="128"/>
      </rPr>
      <t>ir</t>
    </r>
    <r>
      <rPr>
        <sz val="11"/>
        <rFont val="Meiryo UI"/>
        <family val="3"/>
        <charset val="128"/>
      </rPr>
      <t>βγ1BNr+</t>
    </r>
    <r>
      <rPr>
        <sz val="11"/>
        <color indexed="10"/>
        <rFont val="Meiryo UI"/>
        <family val="3"/>
        <charset val="128"/>
      </rPr>
      <t>iq</t>
    </r>
    <r>
      <rPr>
        <sz val="11"/>
        <rFont val="Meiryo UI"/>
        <family val="3"/>
        <charset val="128"/>
      </rPr>
      <t>γ2DfNq)    　[kN/㎡]</t>
    </r>
    <phoneticPr fontId="3"/>
  </si>
  <si>
    <t>γ１'=</t>
    <phoneticPr fontId="3"/>
  </si>
  <si>
    <t>γ２'=</t>
    <phoneticPr fontId="3"/>
  </si>
  <si>
    <t>mm</t>
    <phoneticPr fontId="4"/>
  </si>
  <si>
    <t>α= 1+0.2*B/L =</t>
    <phoneticPr fontId="3"/>
  </si>
  <si>
    <t>β=0.5-0.2*B/L=</t>
    <phoneticPr fontId="3"/>
  </si>
  <si>
    <t>上部層厚　H：</t>
    <rPh sb="0" eb="2">
      <t>ジョウブ</t>
    </rPh>
    <rPh sb="2" eb="4">
      <t>ソウアツ</t>
    </rPh>
    <phoneticPr fontId="3"/>
  </si>
  <si>
    <t>下部層土質：</t>
    <rPh sb="0" eb="2">
      <t>カブ</t>
    </rPh>
    <rPh sb="3" eb="5">
      <t>ドシツ</t>
    </rPh>
    <phoneticPr fontId="3"/>
  </si>
  <si>
    <t>砂質土</t>
  </si>
  <si>
    <t>1/3(αCNc+βγ1BNr+γ2HNq)    　[kN/㎡]</t>
    <phoneticPr fontId="3"/>
  </si>
  <si>
    <t>(二層地盤面下土平均単位体積重量）</t>
    <rPh sb="1" eb="3">
      <t>ニソウ</t>
    </rPh>
    <rPh sb="3" eb="5">
      <t>ジバン</t>
    </rPh>
    <rPh sb="5" eb="6">
      <t>メン</t>
    </rPh>
    <rPh sb="6" eb="7">
      <t>カ</t>
    </rPh>
    <rPh sb="7" eb="8">
      <t>ツチ</t>
    </rPh>
    <rPh sb="8" eb="10">
      <t>ヘイキン</t>
    </rPh>
    <rPh sb="10" eb="12">
      <t>タンイ</t>
    </rPh>
    <rPh sb="12" eb="14">
      <t>タイセキ</t>
    </rPh>
    <rPh sb="14" eb="16">
      <t>ジュウリョウ</t>
    </rPh>
    <phoneticPr fontId="3"/>
  </si>
  <si>
    <t>土質</t>
    <rPh sb="0" eb="2">
      <t>ドシツ</t>
    </rPh>
    <phoneticPr fontId="2"/>
  </si>
  <si>
    <t>層厚</t>
    <rPh sb="0" eb="2">
      <t>ソウアツ</t>
    </rPh>
    <phoneticPr fontId="2"/>
  </si>
  <si>
    <t>埋め土</t>
    <rPh sb="0" eb="1">
      <t>ウ</t>
    </rPh>
    <rPh sb="2" eb="3">
      <t>ツチ</t>
    </rPh>
    <phoneticPr fontId="2"/>
  </si>
  <si>
    <t>砂</t>
    <rPh sb="0" eb="1">
      <t>スナ</t>
    </rPh>
    <phoneticPr fontId="2"/>
  </si>
  <si>
    <t>粘土</t>
    <rPh sb="0" eb="2">
      <t>ネンド</t>
    </rPh>
    <phoneticPr fontId="2"/>
  </si>
  <si>
    <t>γ’</t>
    <phoneticPr fontId="2"/>
  </si>
  <si>
    <t>層数</t>
    <rPh sb="0" eb="1">
      <t>ソウ</t>
    </rPh>
    <rPh sb="1" eb="2">
      <t>スウ</t>
    </rPh>
    <phoneticPr fontId="2"/>
  </si>
  <si>
    <t>sqa=2*lqa=</t>
    <phoneticPr fontId="2"/>
  </si>
  <si>
    <t>B+H-df=</t>
    <phoneticPr fontId="2"/>
  </si>
  <si>
    <t>L+H-df=</t>
    <phoneticPr fontId="2"/>
  </si>
  <si>
    <t>H=</t>
    <phoneticPr fontId="2"/>
  </si>
  <si>
    <t>B*L/{(B+H-Df)*(L+H-Df)}=</t>
    <phoneticPr fontId="2"/>
  </si>
  <si>
    <t>p=</t>
    <phoneticPr fontId="2"/>
  </si>
  <si>
    <t>γ=</t>
    <phoneticPr fontId="2"/>
  </si>
  <si>
    <t>γ＊Df=</t>
    <phoneticPr fontId="2"/>
  </si>
  <si>
    <t>p'=</t>
    <phoneticPr fontId="2"/>
  </si>
  <si>
    <t>WL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</si>
</sst>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_ "/>
    <numFmt numFmtId="177" formatCode="0.0"/>
    <numFmt numFmtId="178" formatCode="0.00_ "/>
    <numFmt numFmtId="179" formatCode="0.000_ "/>
    <numFmt numFmtId="180" formatCode="&quot;ft=&quot;0.0_ "/>
    <numFmt numFmtId="181" formatCode="0_ "/>
  </numFmts>
  <fonts count="12" x14ac:knownFonts="1">
    <font>
      <sz val="11"/>
      <color theme="1"/>
      <name val="游ゴシック"/>
      <family val="2"/>
      <charset val="128"/>
      <scheme val="minor"/>
    </font>
    <font>
      <sz val="14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7"/>
      <name val="ＭＳ Ｐ明朝"/>
      <family val="1"/>
      <charset val="128"/>
    </font>
    <font>
      <sz val="11"/>
      <name val="Meiryo UI"/>
      <family val="3"/>
      <charset val="128"/>
    </font>
    <font>
      <sz val="11"/>
      <color indexed="12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1"/>
      <color indexed="10"/>
      <name val="Meiryo UI"/>
      <family val="3"/>
      <charset val="128"/>
    </font>
    <font>
      <sz val="11"/>
      <color indexed="10"/>
      <name val="Meiryo UI"/>
      <family val="3"/>
      <charset val="128"/>
    </font>
    <font>
      <sz val="11"/>
      <color rgb="FF0070C0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0" fontId="1" fillId="0" borderId="0"/>
  </cellStyleXfs>
  <cellXfs count="46">
    <xf numFmtId="0" fontId="0" fillId="0" borderId="0" xfId="0">
      <alignment vertical="center"/>
    </xf>
    <xf numFmtId="0" fontId="6" fillId="0" borderId="0" xfId="1" applyFont="1" applyBorder="1" applyAlignment="1">
      <alignment horizontal="right"/>
    </xf>
    <xf numFmtId="0" fontId="6" fillId="0" borderId="0" xfId="1" applyFont="1" applyFill="1" applyAlignment="1">
      <alignment horizontal="center"/>
    </xf>
    <xf numFmtId="0" fontId="6" fillId="0" borderId="0" xfId="1" applyFont="1" applyFill="1"/>
    <xf numFmtId="0" fontId="6" fillId="0" borderId="0" xfId="1" applyFont="1" applyAlignment="1">
      <alignment horizontal="right"/>
    </xf>
    <xf numFmtId="0" fontId="6" fillId="0" borderId="0" xfId="1" quotePrefix="1" applyFont="1" applyFill="1" applyAlignment="1">
      <alignment horizontal="left"/>
    </xf>
    <xf numFmtId="0" fontId="8" fillId="0" borderId="0" xfId="0" applyFont="1">
      <alignment vertical="center"/>
    </xf>
    <xf numFmtId="0" fontId="6" fillId="0" borderId="0" xfId="1" applyFont="1"/>
    <xf numFmtId="0" fontId="9" fillId="0" borderId="0" xfId="2" applyFont="1"/>
    <xf numFmtId="0" fontId="6" fillId="0" borderId="0" xfId="1" applyFont="1" applyBorder="1"/>
    <xf numFmtId="0" fontId="7" fillId="0" borderId="0" xfId="1" applyFont="1" applyBorder="1" applyProtection="1">
      <protection locked="0"/>
    </xf>
    <xf numFmtId="0" fontId="7" fillId="0" borderId="0" xfId="1" applyFont="1" applyBorder="1" applyAlignment="1" applyProtection="1">
      <alignment horizontal="center"/>
      <protection locked="0"/>
    </xf>
    <xf numFmtId="0" fontId="6" fillId="0" borderId="0" xfId="1" applyFont="1" applyAlignment="1">
      <alignment horizontal="center"/>
    </xf>
    <xf numFmtId="0" fontId="6" fillId="0" borderId="0" xfId="1" applyFont="1" applyFill="1" applyBorder="1"/>
    <xf numFmtId="0" fontId="7" fillId="0" borderId="0" xfId="1" applyFont="1" applyFill="1" applyBorder="1" applyProtection="1">
      <protection locked="0"/>
    </xf>
    <xf numFmtId="0" fontId="6" fillId="0" borderId="0" xfId="1" applyFont="1" applyFill="1" applyBorder="1" applyAlignment="1">
      <alignment horizontal="right"/>
    </xf>
    <xf numFmtId="0" fontId="6" fillId="0" borderId="0" xfId="1" applyFont="1" applyFill="1" applyAlignment="1">
      <alignment horizontal="right"/>
    </xf>
    <xf numFmtId="0" fontId="7" fillId="0" borderId="1" xfId="1" applyFont="1" applyFill="1" applyBorder="1" applyAlignment="1" applyProtection="1">
      <alignment horizontal="center"/>
      <protection locked="0"/>
    </xf>
    <xf numFmtId="0" fontId="7" fillId="0" borderId="1" xfId="1" applyFont="1" applyFill="1" applyBorder="1" applyAlignment="1">
      <alignment horizontal="center"/>
    </xf>
    <xf numFmtId="177" fontId="6" fillId="0" borderId="0" xfId="1" applyNumberFormat="1" applyFont="1" applyAlignment="1">
      <alignment horizontal="center"/>
    </xf>
    <xf numFmtId="0" fontId="6" fillId="0" borderId="0" xfId="1" applyFont="1" applyFill="1" applyBorder="1" applyAlignment="1" applyProtection="1">
      <alignment horizontal="right"/>
      <protection locked="0"/>
    </xf>
    <xf numFmtId="0" fontId="6" fillId="0" borderId="0" xfId="1" applyFont="1" applyFill="1" applyAlignment="1">
      <alignment horizontal="left"/>
    </xf>
    <xf numFmtId="0" fontId="6" fillId="0" borderId="2" xfId="1" applyFont="1" applyBorder="1" applyAlignment="1"/>
    <xf numFmtId="0" fontId="6" fillId="0" borderId="3" xfId="1" applyFont="1" applyBorder="1" applyAlignment="1">
      <alignment horizontal="center"/>
    </xf>
    <xf numFmtId="0" fontId="6" fillId="0" borderId="3" xfId="2" applyFont="1" applyFill="1" applyBorder="1" applyAlignment="1">
      <alignment horizontal="center"/>
    </xf>
    <xf numFmtId="0" fontId="6" fillId="0" borderId="3" xfId="1" applyFont="1" applyBorder="1" applyAlignment="1">
      <alignment horizontal="center" shrinkToFit="1"/>
    </xf>
    <xf numFmtId="2" fontId="7" fillId="0" borderId="3" xfId="2" applyNumberFormat="1" applyFont="1" applyFill="1" applyBorder="1" applyAlignment="1">
      <alignment horizontal="center" shrinkToFit="1"/>
    </xf>
    <xf numFmtId="179" fontId="6" fillId="0" borderId="3" xfId="2" applyNumberFormat="1" applyFont="1" applyFill="1" applyBorder="1" applyAlignment="1">
      <alignment horizontal="center" shrinkToFit="1"/>
    </xf>
    <xf numFmtId="178" fontId="6" fillId="0" borderId="3" xfId="2" applyNumberFormat="1" applyFont="1" applyFill="1" applyBorder="1" applyAlignment="1">
      <alignment horizontal="center" shrinkToFit="1"/>
    </xf>
    <xf numFmtId="179" fontId="10" fillId="0" borderId="3" xfId="2" applyNumberFormat="1" applyFont="1" applyFill="1" applyBorder="1" applyAlignment="1">
      <alignment horizontal="center" shrinkToFit="1"/>
    </xf>
    <xf numFmtId="180" fontId="6" fillId="0" borderId="0" xfId="1" quotePrefix="1" applyNumberFormat="1" applyFont="1" applyFill="1" applyAlignment="1">
      <alignment horizontal="left"/>
    </xf>
    <xf numFmtId="0" fontId="6" fillId="0" borderId="0" xfId="1" quotePrefix="1" applyFont="1" applyFill="1" applyAlignment="1">
      <alignment horizontal="right"/>
    </xf>
    <xf numFmtId="176" fontId="6" fillId="0" borderId="0" xfId="1" applyNumberFormat="1" applyFont="1" applyFill="1" applyAlignment="1">
      <alignment horizontal="center"/>
    </xf>
    <xf numFmtId="176" fontId="10" fillId="0" borderId="0" xfId="1" applyNumberFormat="1" applyFont="1" applyFill="1"/>
    <xf numFmtId="177" fontId="8" fillId="0" borderId="0" xfId="0" applyNumberFormat="1" applyFont="1" applyAlignment="1">
      <alignment horizontal="center" vertical="center"/>
    </xf>
    <xf numFmtId="176" fontId="7" fillId="0" borderId="0" xfId="1" applyNumberFormat="1" applyFont="1" applyFill="1" applyBorder="1" applyAlignment="1" applyProtection="1">
      <alignment horizontal="center"/>
      <protection locked="0"/>
    </xf>
    <xf numFmtId="178" fontId="6" fillId="0" borderId="0" xfId="1" applyNumberFormat="1" applyFont="1" applyFill="1" applyAlignment="1">
      <alignment horizontal="center"/>
    </xf>
    <xf numFmtId="0" fontId="11" fillId="0" borderId="0" xfId="1" applyFont="1" applyFill="1" applyBorder="1" applyAlignment="1" applyProtection="1">
      <alignment horizontal="right"/>
      <protection locked="0"/>
    </xf>
    <xf numFmtId="0" fontId="11" fillId="0" borderId="0" xfId="1" applyFont="1" applyFill="1" applyAlignment="1">
      <alignment horizontal="right"/>
    </xf>
    <xf numFmtId="2" fontId="6" fillId="0" borderId="0" xfId="1" applyNumberFormat="1" applyFont="1" applyFill="1" applyAlignment="1" applyProtection="1">
      <alignment horizontal="center"/>
    </xf>
    <xf numFmtId="0" fontId="8" fillId="0" borderId="0" xfId="0" applyFont="1" applyBorder="1" applyAlignment="1">
      <alignment horizontal="center" vertical="center"/>
    </xf>
    <xf numFmtId="2" fontId="11" fillId="0" borderId="0" xfId="1" applyNumberFormat="1" applyFont="1" applyFill="1" applyAlignment="1">
      <alignment horizontal="center"/>
    </xf>
    <xf numFmtId="176" fontId="6" fillId="0" borderId="0" xfId="1" applyNumberFormat="1" applyFont="1" applyFill="1" applyAlignment="1">
      <alignment horizontal="right"/>
    </xf>
    <xf numFmtId="0" fontId="8" fillId="0" borderId="0" xfId="0" applyFont="1" applyAlignment="1">
      <alignment horizontal="right" vertical="center"/>
    </xf>
    <xf numFmtId="177" fontId="8" fillId="0" borderId="0" xfId="0" applyNumberFormat="1" applyFont="1">
      <alignment vertical="center"/>
    </xf>
    <xf numFmtId="181" fontId="6" fillId="0" borderId="0" xfId="1" applyNumberFormat="1" applyFont="1" applyFill="1" applyAlignment="1">
      <alignment horizontal="center"/>
    </xf>
  </cellXfs>
  <cellStyles count="3">
    <cellStyle name="標準" xfId="0" builtinId="0"/>
    <cellStyle name="標準_N1113基礎支持力" xfId="2" xr:uid="{929AA6AB-218C-4841-943D-17F8053EDB9D}"/>
    <cellStyle name="標準_基礎支持力qa" xfId="1" xr:uid="{68B9C565-4D54-4A92-840F-DAF1268583B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6</xdr:col>
      <xdr:colOff>180975</xdr:colOff>
      <xdr:row>3</xdr:row>
      <xdr:rowOff>0</xdr:rowOff>
    </xdr:to>
    <xdr:cxnSp macro="">
      <xdr:nvCxnSpPr>
        <xdr:cNvPr id="42" name="line01">
          <a:extLst>
            <a:ext uri="{FF2B5EF4-FFF2-40B4-BE49-F238E27FC236}">
              <a16:creationId xmlns:a16="http://schemas.microsoft.com/office/drawing/2014/main" id="{E967C2A0-F7C7-4612-A4D5-5958861B63C9}"/>
            </a:ext>
          </a:extLst>
        </xdr:cNvPr>
        <xdr:cNvCxnSpPr/>
      </xdr:nvCxnSpPr>
      <xdr:spPr>
        <a:xfrm>
          <a:off x="352425" y="600075"/>
          <a:ext cx="3086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</xdr:row>
      <xdr:rowOff>184150</xdr:rowOff>
    </xdr:from>
    <xdr:to>
      <xdr:col>2</xdr:col>
      <xdr:colOff>53975</xdr:colOff>
      <xdr:row>3</xdr:row>
      <xdr:rowOff>38100</xdr:rowOff>
    </xdr:to>
    <xdr:sp macro="" textlink="">
      <xdr:nvSpPr>
        <xdr:cNvPr id="43" name="textbox01">
          <a:extLst>
            <a:ext uri="{FF2B5EF4-FFF2-40B4-BE49-F238E27FC236}">
              <a16:creationId xmlns:a16="http://schemas.microsoft.com/office/drawing/2014/main" id="{AC9244EE-B781-41FB-8CA7-732720A92E41}"/>
            </a:ext>
          </a:extLst>
        </xdr:cNvPr>
        <xdr:cNvSpPr txBox="1"/>
      </xdr:nvSpPr>
      <xdr:spPr>
        <a:xfrm>
          <a:off x="352425" y="3841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▽GL</a:t>
          </a:r>
          <a:endParaRPr kumimoji="1" lang="ja-JP" altLang="en-US" sz="1100"/>
        </a:p>
      </xdr:txBody>
    </xdr:sp>
    <xdr:clientData/>
  </xdr:twoCellAnchor>
  <xdr:twoCellAnchor>
    <xdr:from>
      <xdr:col>3</xdr:col>
      <xdr:colOff>98281</xdr:colOff>
      <xdr:row>2</xdr:row>
      <xdr:rowOff>73025</xdr:rowOff>
    </xdr:from>
    <xdr:to>
      <xdr:col>3</xdr:col>
      <xdr:colOff>98281</xdr:colOff>
      <xdr:row>16</xdr:row>
      <xdr:rowOff>190500</xdr:rowOff>
    </xdr:to>
    <xdr:cxnSp macro="">
      <xdr:nvCxnSpPr>
        <xdr:cNvPr id="44" name="line01">
          <a:extLst>
            <a:ext uri="{FF2B5EF4-FFF2-40B4-BE49-F238E27FC236}">
              <a16:creationId xmlns:a16="http://schemas.microsoft.com/office/drawing/2014/main" id="{D9B26A1C-E99C-4ECD-950F-5C83D2D48203}"/>
            </a:ext>
          </a:extLst>
        </xdr:cNvPr>
        <xdr:cNvCxnSpPr/>
      </xdr:nvCxnSpPr>
      <xdr:spPr>
        <a:xfrm flipV="1">
          <a:off x="1612756" y="473075"/>
          <a:ext cx="0" cy="29178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98281</xdr:colOff>
      <xdr:row>2</xdr:row>
      <xdr:rowOff>73025</xdr:rowOff>
    </xdr:from>
    <xdr:to>
      <xdr:col>3</xdr:col>
      <xdr:colOff>98281</xdr:colOff>
      <xdr:row>16</xdr:row>
      <xdr:rowOff>190500</xdr:rowOff>
    </xdr:to>
    <xdr:cxnSp macro="">
      <xdr:nvCxnSpPr>
        <xdr:cNvPr id="45" name="line01">
          <a:extLst>
            <a:ext uri="{FF2B5EF4-FFF2-40B4-BE49-F238E27FC236}">
              <a16:creationId xmlns:a16="http://schemas.microsoft.com/office/drawing/2014/main" id="{1455D7CC-4A75-4998-9627-26D338653369}"/>
            </a:ext>
          </a:extLst>
        </xdr:cNvPr>
        <xdr:cNvCxnSpPr/>
      </xdr:nvCxnSpPr>
      <xdr:spPr>
        <a:xfrm flipV="1">
          <a:off x="1612756" y="473075"/>
          <a:ext cx="0" cy="29178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294986</xdr:colOff>
      <xdr:row>12</xdr:row>
      <xdr:rowOff>90920</xdr:rowOff>
    </xdr:from>
    <xdr:to>
      <xdr:col>5</xdr:col>
      <xdr:colOff>342900</xdr:colOff>
      <xdr:row>12</xdr:row>
      <xdr:rowOff>90920</xdr:rowOff>
    </xdr:to>
    <xdr:cxnSp macro="">
      <xdr:nvCxnSpPr>
        <xdr:cNvPr id="46" name="line01">
          <a:extLst>
            <a:ext uri="{FF2B5EF4-FFF2-40B4-BE49-F238E27FC236}">
              <a16:creationId xmlns:a16="http://schemas.microsoft.com/office/drawing/2014/main" id="{8EA828D0-0DBB-4C85-9ED1-C2B097089E26}"/>
            </a:ext>
          </a:extLst>
        </xdr:cNvPr>
        <xdr:cNvCxnSpPr/>
      </xdr:nvCxnSpPr>
      <xdr:spPr>
        <a:xfrm>
          <a:off x="294986" y="2491220"/>
          <a:ext cx="27244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294986</xdr:colOff>
      <xdr:row>12</xdr:row>
      <xdr:rowOff>90920</xdr:rowOff>
    </xdr:from>
    <xdr:to>
      <xdr:col>5</xdr:col>
      <xdr:colOff>342900</xdr:colOff>
      <xdr:row>12</xdr:row>
      <xdr:rowOff>90920</xdr:rowOff>
    </xdr:to>
    <xdr:cxnSp macro="">
      <xdr:nvCxnSpPr>
        <xdr:cNvPr id="47" name="line01">
          <a:extLst>
            <a:ext uri="{FF2B5EF4-FFF2-40B4-BE49-F238E27FC236}">
              <a16:creationId xmlns:a16="http://schemas.microsoft.com/office/drawing/2014/main" id="{13A5B7CF-202D-496E-8E39-B94E0EDEDC5E}"/>
            </a:ext>
          </a:extLst>
        </xdr:cNvPr>
        <xdr:cNvCxnSpPr/>
      </xdr:nvCxnSpPr>
      <xdr:spPr>
        <a:xfrm>
          <a:off x="294986" y="2491220"/>
          <a:ext cx="27244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0</xdr:rowOff>
    </xdr:from>
    <xdr:to>
      <xdr:col>5</xdr:col>
      <xdr:colOff>0</xdr:colOff>
      <xdr:row>16</xdr:row>
      <xdr:rowOff>0</xdr:rowOff>
    </xdr:to>
    <xdr:cxnSp macro="">
      <xdr:nvCxnSpPr>
        <xdr:cNvPr id="48" name="line02">
          <a:extLst>
            <a:ext uri="{FF2B5EF4-FFF2-40B4-BE49-F238E27FC236}">
              <a16:creationId xmlns:a16="http://schemas.microsoft.com/office/drawing/2014/main" id="{17EF8EEA-BCCF-4E9E-902E-37D6DEB097D6}"/>
            </a:ext>
          </a:extLst>
        </xdr:cNvPr>
        <xdr:cNvCxnSpPr/>
      </xdr:nvCxnSpPr>
      <xdr:spPr>
        <a:xfrm>
          <a:off x="548986" y="32004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8</xdr:row>
      <xdr:rowOff>181841</xdr:rowOff>
    </xdr:from>
    <xdr:to>
      <xdr:col>5</xdr:col>
      <xdr:colOff>0</xdr:colOff>
      <xdr:row>8</xdr:row>
      <xdr:rowOff>181841</xdr:rowOff>
    </xdr:to>
    <xdr:cxnSp macro="">
      <xdr:nvCxnSpPr>
        <xdr:cNvPr id="49" name="line02">
          <a:extLst>
            <a:ext uri="{FF2B5EF4-FFF2-40B4-BE49-F238E27FC236}">
              <a16:creationId xmlns:a16="http://schemas.microsoft.com/office/drawing/2014/main" id="{0A58C98A-6AE6-449A-9499-42957692920D}"/>
            </a:ext>
          </a:extLst>
        </xdr:cNvPr>
        <xdr:cNvCxnSpPr/>
      </xdr:nvCxnSpPr>
      <xdr:spPr>
        <a:xfrm>
          <a:off x="548986" y="178204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8</xdr:row>
      <xdr:rowOff>181841</xdr:rowOff>
    </xdr:from>
    <xdr:to>
      <xdr:col>1</xdr:col>
      <xdr:colOff>196561</xdr:colOff>
      <xdr:row>16</xdr:row>
      <xdr:rowOff>0</xdr:rowOff>
    </xdr:to>
    <xdr:cxnSp macro="">
      <xdr:nvCxnSpPr>
        <xdr:cNvPr id="50" name="line02">
          <a:extLst>
            <a:ext uri="{FF2B5EF4-FFF2-40B4-BE49-F238E27FC236}">
              <a16:creationId xmlns:a16="http://schemas.microsoft.com/office/drawing/2014/main" id="{B8C566CD-6F08-4E57-A421-CF1D0D4B73B6}"/>
            </a:ext>
          </a:extLst>
        </xdr:cNvPr>
        <xdr:cNvCxnSpPr/>
      </xdr:nvCxnSpPr>
      <xdr:spPr>
        <a:xfrm flipV="1">
          <a:off x="548986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8</xdr:row>
      <xdr:rowOff>181841</xdr:rowOff>
    </xdr:from>
    <xdr:to>
      <xdr:col>5</xdr:col>
      <xdr:colOff>0</xdr:colOff>
      <xdr:row>16</xdr:row>
      <xdr:rowOff>0</xdr:rowOff>
    </xdr:to>
    <xdr:cxnSp macro="">
      <xdr:nvCxnSpPr>
        <xdr:cNvPr id="51" name="line02">
          <a:extLst>
            <a:ext uri="{FF2B5EF4-FFF2-40B4-BE49-F238E27FC236}">
              <a16:creationId xmlns:a16="http://schemas.microsoft.com/office/drawing/2014/main" id="{FC1D6B07-2879-4A2C-B181-B4CEE4E9415F}"/>
            </a:ext>
          </a:extLst>
        </xdr:cNvPr>
        <xdr:cNvCxnSpPr/>
      </xdr:nvCxnSpPr>
      <xdr:spPr>
        <a:xfrm flipV="1">
          <a:off x="26765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7</xdr:row>
      <xdr:rowOff>27276</xdr:rowOff>
    </xdr:from>
    <xdr:to>
      <xdr:col>5</xdr:col>
      <xdr:colOff>0</xdr:colOff>
      <xdr:row>7</xdr:row>
      <xdr:rowOff>27276</xdr:rowOff>
    </xdr:to>
    <xdr:cxnSp macro="">
      <xdr:nvCxnSpPr>
        <xdr:cNvPr id="52" name="line02">
          <a:extLst>
            <a:ext uri="{FF2B5EF4-FFF2-40B4-BE49-F238E27FC236}">
              <a16:creationId xmlns:a16="http://schemas.microsoft.com/office/drawing/2014/main" id="{BFBD4456-D279-429C-AC64-513E9B006042}"/>
            </a:ext>
          </a:extLst>
        </xdr:cNvPr>
        <xdr:cNvCxnSpPr/>
      </xdr:nvCxnSpPr>
      <xdr:spPr>
        <a:xfrm>
          <a:off x="548986" y="142745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5</xdr:row>
      <xdr:rowOff>72736</xdr:rowOff>
    </xdr:from>
    <xdr:to>
      <xdr:col>5</xdr:col>
      <xdr:colOff>0</xdr:colOff>
      <xdr:row>5</xdr:row>
      <xdr:rowOff>72736</xdr:rowOff>
    </xdr:to>
    <xdr:cxnSp macro="">
      <xdr:nvCxnSpPr>
        <xdr:cNvPr id="53" name="line02">
          <a:extLst>
            <a:ext uri="{FF2B5EF4-FFF2-40B4-BE49-F238E27FC236}">
              <a16:creationId xmlns:a16="http://schemas.microsoft.com/office/drawing/2014/main" id="{532A28D8-5A4D-46C5-825D-FB6D0920F20D}"/>
            </a:ext>
          </a:extLst>
        </xdr:cNvPr>
        <xdr:cNvCxnSpPr/>
      </xdr:nvCxnSpPr>
      <xdr:spPr>
        <a:xfrm>
          <a:off x="548986" y="107286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5</xdr:row>
      <xdr:rowOff>72736</xdr:rowOff>
    </xdr:from>
    <xdr:to>
      <xdr:col>1</xdr:col>
      <xdr:colOff>196561</xdr:colOff>
      <xdr:row>7</xdr:row>
      <xdr:rowOff>27276</xdr:rowOff>
    </xdr:to>
    <xdr:cxnSp macro="">
      <xdr:nvCxnSpPr>
        <xdr:cNvPr id="54" name="line02">
          <a:extLst>
            <a:ext uri="{FF2B5EF4-FFF2-40B4-BE49-F238E27FC236}">
              <a16:creationId xmlns:a16="http://schemas.microsoft.com/office/drawing/2014/main" id="{A9419509-C340-41B6-A495-2F83254EC696}"/>
            </a:ext>
          </a:extLst>
        </xdr:cNvPr>
        <xdr:cNvCxnSpPr/>
      </xdr:nvCxnSpPr>
      <xdr:spPr>
        <a:xfrm flipV="1">
          <a:off x="548986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</xdr:row>
      <xdr:rowOff>72736</xdr:rowOff>
    </xdr:from>
    <xdr:to>
      <xdr:col>5</xdr:col>
      <xdr:colOff>0</xdr:colOff>
      <xdr:row>7</xdr:row>
      <xdr:rowOff>27276</xdr:rowOff>
    </xdr:to>
    <xdr:cxnSp macro="">
      <xdr:nvCxnSpPr>
        <xdr:cNvPr id="55" name="line02">
          <a:extLst>
            <a:ext uri="{FF2B5EF4-FFF2-40B4-BE49-F238E27FC236}">
              <a16:creationId xmlns:a16="http://schemas.microsoft.com/office/drawing/2014/main" id="{D5876E38-0637-4A9E-A4AA-3CC5DBE13E7B}"/>
            </a:ext>
          </a:extLst>
        </xdr:cNvPr>
        <xdr:cNvCxnSpPr/>
      </xdr:nvCxnSpPr>
      <xdr:spPr>
        <a:xfrm flipV="1">
          <a:off x="2676525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3</xdr:row>
      <xdr:rowOff>0</xdr:rowOff>
    </xdr:from>
    <xdr:to>
      <xdr:col>2</xdr:col>
      <xdr:colOff>236068</xdr:colOff>
      <xdr:row>5</xdr:row>
      <xdr:rowOff>72736</xdr:rowOff>
    </xdr:to>
    <xdr:cxnSp macro="">
      <xdr:nvCxnSpPr>
        <xdr:cNvPr id="56" name="line02">
          <a:extLst>
            <a:ext uri="{FF2B5EF4-FFF2-40B4-BE49-F238E27FC236}">
              <a16:creationId xmlns:a16="http://schemas.microsoft.com/office/drawing/2014/main" id="{69901C2E-D6B1-481A-AFE5-D9BF049ECD8D}"/>
            </a:ext>
          </a:extLst>
        </xdr:cNvPr>
        <xdr:cNvCxnSpPr/>
      </xdr:nvCxnSpPr>
      <xdr:spPr>
        <a:xfrm flipV="1">
          <a:off x="1169518" y="600075"/>
          <a:ext cx="0" cy="47278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541518</xdr:colOff>
      <xdr:row>3</xdr:row>
      <xdr:rowOff>0</xdr:rowOff>
    </xdr:from>
    <xdr:to>
      <xdr:col>3</xdr:col>
      <xdr:colOff>541518</xdr:colOff>
      <xdr:row>5</xdr:row>
      <xdr:rowOff>72736</xdr:rowOff>
    </xdr:to>
    <xdr:cxnSp macro="">
      <xdr:nvCxnSpPr>
        <xdr:cNvPr id="57" name="line02">
          <a:extLst>
            <a:ext uri="{FF2B5EF4-FFF2-40B4-BE49-F238E27FC236}">
              <a16:creationId xmlns:a16="http://schemas.microsoft.com/office/drawing/2014/main" id="{4248E9B6-E82B-429C-99D4-31E62F025205}"/>
            </a:ext>
          </a:extLst>
        </xdr:cNvPr>
        <xdr:cNvCxnSpPr/>
      </xdr:nvCxnSpPr>
      <xdr:spPr>
        <a:xfrm flipV="1">
          <a:off x="2055993" y="600075"/>
          <a:ext cx="0" cy="47278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14</xdr:row>
      <xdr:rowOff>134108</xdr:rowOff>
    </xdr:from>
    <xdr:to>
      <xdr:col>3</xdr:col>
      <xdr:colOff>541518</xdr:colOff>
      <xdr:row>14</xdr:row>
      <xdr:rowOff>134108</xdr:rowOff>
    </xdr:to>
    <xdr:cxnSp macro="">
      <xdr:nvCxnSpPr>
        <xdr:cNvPr id="58" name="line02">
          <a:extLst>
            <a:ext uri="{FF2B5EF4-FFF2-40B4-BE49-F238E27FC236}">
              <a16:creationId xmlns:a16="http://schemas.microsoft.com/office/drawing/2014/main" id="{6790FF71-52E0-414E-BCBF-C2D20F4E35C7}"/>
            </a:ext>
          </a:extLst>
        </xdr:cNvPr>
        <xdr:cNvCxnSpPr/>
      </xdr:nvCxnSpPr>
      <xdr:spPr>
        <a:xfrm>
          <a:off x="1169518" y="2934458"/>
          <a:ext cx="886475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10</xdr:row>
      <xdr:rowOff>47733</xdr:rowOff>
    </xdr:from>
    <xdr:to>
      <xdr:col>3</xdr:col>
      <xdr:colOff>541518</xdr:colOff>
      <xdr:row>10</xdr:row>
      <xdr:rowOff>47733</xdr:rowOff>
    </xdr:to>
    <xdr:cxnSp macro="">
      <xdr:nvCxnSpPr>
        <xdr:cNvPr id="59" name="line02">
          <a:extLst>
            <a:ext uri="{FF2B5EF4-FFF2-40B4-BE49-F238E27FC236}">
              <a16:creationId xmlns:a16="http://schemas.microsoft.com/office/drawing/2014/main" id="{352F73FA-DB68-4511-B3EE-1DE829F15505}"/>
            </a:ext>
          </a:extLst>
        </xdr:cNvPr>
        <xdr:cNvCxnSpPr/>
      </xdr:nvCxnSpPr>
      <xdr:spPr>
        <a:xfrm>
          <a:off x="1169518" y="2047983"/>
          <a:ext cx="886475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10</xdr:row>
      <xdr:rowOff>47733</xdr:rowOff>
    </xdr:from>
    <xdr:to>
      <xdr:col>2</xdr:col>
      <xdr:colOff>236068</xdr:colOff>
      <xdr:row>14</xdr:row>
      <xdr:rowOff>134108</xdr:rowOff>
    </xdr:to>
    <xdr:cxnSp macro="">
      <xdr:nvCxnSpPr>
        <xdr:cNvPr id="60" name="line02">
          <a:extLst>
            <a:ext uri="{FF2B5EF4-FFF2-40B4-BE49-F238E27FC236}">
              <a16:creationId xmlns:a16="http://schemas.microsoft.com/office/drawing/2014/main" id="{4CCFD7AA-AA10-48A7-93DB-88EAF89F3D38}"/>
            </a:ext>
          </a:extLst>
        </xdr:cNvPr>
        <xdr:cNvCxnSpPr/>
      </xdr:nvCxnSpPr>
      <xdr:spPr>
        <a:xfrm flipV="1">
          <a:off x="1169518" y="2047983"/>
          <a:ext cx="0" cy="88647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541518</xdr:colOff>
      <xdr:row>10</xdr:row>
      <xdr:rowOff>47733</xdr:rowOff>
    </xdr:from>
    <xdr:to>
      <xdr:col>3</xdr:col>
      <xdr:colOff>541518</xdr:colOff>
      <xdr:row>14</xdr:row>
      <xdr:rowOff>134108</xdr:rowOff>
    </xdr:to>
    <xdr:cxnSp macro="">
      <xdr:nvCxnSpPr>
        <xdr:cNvPr id="61" name="line02">
          <a:extLst>
            <a:ext uri="{FF2B5EF4-FFF2-40B4-BE49-F238E27FC236}">
              <a16:creationId xmlns:a16="http://schemas.microsoft.com/office/drawing/2014/main" id="{526A89C1-6778-4B23-BEE4-3CDF98893EBF}"/>
            </a:ext>
          </a:extLst>
        </xdr:cNvPr>
        <xdr:cNvCxnSpPr/>
      </xdr:nvCxnSpPr>
      <xdr:spPr>
        <a:xfrm flipV="1">
          <a:off x="2055993" y="2047983"/>
          <a:ext cx="0" cy="88647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53975</xdr:colOff>
      <xdr:row>3</xdr:row>
      <xdr:rowOff>0</xdr:rowOff>
    </xdr:from>
    <xdr:to>
      <xdr:col>6</xdr:col>
      <xdr:colOff>53975</xdr:colOff>
      <xdr:row>7</xdr:row>
      <xdr:rowOff>27276</xdr:rowOff>
    </xdr:to>
    <xdr:cxnSp macro="">
      <xdr:nvCxnSpPr>
        <xdr:cNvPr id="62" name="line02">
          <a:extLst>
            <a:ext uri="{FF2B5EF4-FFF2-40B4-BE49-F238E27FC236}">
              <a16:creationId xmlns:a16="http://schemas.microsoft.com/office/drawing/2014/main" id="{BC8890D1-1C82-41C4-BC69-84F414E8BAAF}"/>
            </a:ext>
          </a:extLst>
        </xdr:cNvPr>
        <xdr:cNvCxnSpPr/>
      </xdr:nvCxnSpPr>
      <xdr:spPr>
        <a:xfrm flipV="1">
          <a:off x="3311525" y="600075"/>
          <a:ext cx="0" cy="82737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5</xdr:row>
      <xdr:rowOff>72736</xdr:rowOff>
    </xdr:from>
    <xdr:to>
      <xdr:col>5</xdr:col>
      <xdr:colOff>317500</xdr:colOff>
      <xdr:row>7</xdr:row>
      <xdr:rowOff>27276</xdr:rowOff>
    </xdr:to>
    <xdr:cxnSp macro="">
      <xdr:nvCxnSpPr>
        <xdr:cNvPr id="63" name="line02">
          <a:extLst>
            <a:ext uri="{FF2B5EF4-FFF2-40B4-BE49-F238E27FC236}">
              <a16:creationId xmlns:a16="http://schemas.microsoft.com/office/drawing/2014/main" id="{56233BB0-BF02-4557-ADF8-7EDE7B994D91}"/>
            </a:ext>
          </a:extLst>
        </xdr:cNvPr>
        <xdr:cNvCxnSpPr/>
      </xdr:nvCxnSpPr>
      <xdr:spPr>
        <a:xfrm flipV="1">
          <a:off x="2994025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7</xdr:row>
      <xdr:rowOff>27276</xdr:rowOff>
    </xdr:from>
    <xdr:to>
      <xdr:col>6</xdr:col>
      <xdr:colOff>117475</xdr:colOff>
      <xdr:row>7</xdr:row>
      <xdr:rowOff>27276</xdr:rowOff>
    </xdr:to>
    <xdr:cxnSp macro="">
      <xdr:nvCxnSpPr>
        <xdr:cNvPr id="1408" name="line02">
          <a:extLst>
            <a:ext uri="{FF2B5EF4-FFF2-40B4-BE49-F238E27FC236}">
              <a16:creationId xmlns:a16="http://schemas.microsoft.com/office/drawing/2014/main" id="{A0413D50-BBF7-42FB-A1BB-5C0A13266F41}"/>
            </a:ext>
          </a:extLst>
        </xdr:cNvPr>
        <xdr:cNvCxnSpPr/>
      </xdr:nvCxnSpPr>
      <xdr:spPr>
        <a:xfrm>
          <a:off x="2740025" y="1427451"/>
          <a:ext cx="6350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5</xdr:row>
      <xdr:rowOff>72736</xdr:rowOff>
    </xdr:from>
    <xdr:to>
      <xdr:col>5</xdr:col>
      <xdr:colOff>355600</xdr:colOff>
      <xdr:row>5</xdr:row>
      <xdr:rowOff>72736</xdr:rowOff>
    </xdr:to>
    <xdr:cxnSp macro="">
      <xdr:nvCxnSpPr>
        <xdr:cNvPr id="1409" name="line02">
          <a:extLst>
            <a:ext uri="{FF2B5EF4-FFF2-40B4-BE49-F238E27FC236}">
              <a16:creationId xmlns:a16="http://schemas.microsoft.com/office/drawing/2014/main" id="{AF1729C5-9969-491D-9718-2C9EC040B9D9}"/>
            </a:ext>
          </a:extLst>
        </xdr:cNvPr>
        <xdr:cNvCxnSpPr/>
      </xdr:nvCxnSpPr>
      <xdr:spPr>
        <a:xfrm>
          <a:off x="2740025" y="1072861"/>
          <a:ext cx="292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17</xdr:row>
      <xdr:rowOff>180975</xdr:rowOff>
    </xdr:from>
    <xdr:to>
      <xdr:col>5</xdr:col>
      <xdr:colOff>0</xdr:colOff>
      <xdr:row>17</xdr:row>
      <xdr:rowOff>180975</xdr:rowOff>
    </xdr:to>
    <xdr:cxnSp macro="">
      <xdr:nvCxnSpPr>
        <xdr:cNvPr id="1410" name="line02">
          <a:extLst>
            <a:ext uri="{FF2B5EF4-FFF2-40B4-BE49-F238E27FC236}">
              <a16:creationId xmlns:a16="http://schemas.microsoft.com/office/drawing/2014/main" id="{7E0351DE-9347-4DA8-AB7D-686EED874A3C}"/>
            </a:ext>
          </a:extLst>
        </xdr:cNvPr>
        <xdr:cNvCxnSpPr/>
      </xdr:nvCxnSpPr>
      <xdr:spPr>
        <a:xfrm>
          <a:off x="548986" y="35814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190500</xdr:rowOff>
    </xdr:from>
    <xdr:to>
      <xdr:col>5</xdr:col>
      <xdr:colOff>0</xdr:colOff>
      <xdr:row>16</xdr:row>
      <xdr:rowOff>190500</xdr:rowOff>
    </xdr:to>
    <xdr:cxnSp macro="">
      <xdr:nvCxnSpPr>
        <xdr:cNvPr id="1411" name="line02">
          <a:extLst>
            <a:ext uri="{FF2B5EF4-FFF2-40B4-BE49-F238E27FC236}">
              <a16:creationId xmlns:a16="http://schemas.microsoft.com/office/drawing/2014/main" id="{E4B952F9-3307-4B13-BCE9-D9B324E29DD5}"/>
            </a:ext>
          </a:extLst>
        </xdr:cNvPr>
        <xdr:cNvCxnSpPr/>
      </xdr:nvCxnSpPr>
      <xdr:spPr>
        <a:xfrm>
          <a:off x="548986" y="33909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38100</xdr:rowOff>
    </xdr:from>
    <xdr:to>
      <xdr:col>1</xdr:col>
      <xdr:colOff>196561</xdr:colOff>
      <xdr:row>17</xdr:row>
      <xdr:rowOff>180975</xdr:rowOff>
    </xdr:to>
    <xdr:cxnSp macro="">
      <xdr:nvCxnSpPr>
        <xdr:cNvPr id="1412" name="line02">
          <a:extLst>
            <a:ext uri="{FF2B5EF4-FFF2-40B4-BE49-F238E27FC236}">
              <a16:creationId xmlns:a16="http://schemas.microsoft.com/office/drawing/2014/main" id="{858B77F2-1BA0-4AD2-B510-F1D52CA1722D}"/>
            </a:ext>
          </a:extLst>
        </xdr:cNvPr>
        <xdr:cNvCxnSpPr/>
      </xdr:nvCxnSpPr>
      <xdr:spPr>
        <a:xfrm flipV="1">
          <a:off x="548986" y="3238500"/>
          <a:ext cx="0" cy="3429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38100</xdr:rowOff>
    </xdr:from>
    <xdr:to>
      <xdr:col>5</xdr:col>
      <xdr:colOff>0</xdr:colOff>
      <xdr:row>17</xdr:row>
      <xdr:rowOff>180975</xdr:rowOff>
    </xdr:to>
    <xdr:cxnSp macro="">
      <xdr:nvCxnSpPr>
        <xdr:cNvPr id="1413" name="line02">
          <a:extLst>
            <a:ext uri="{FF2B5EF4-FFF2-40B4-BE49-F238E27FC236}">
              <a16:creationId xmlns:a16="http://schemas.microsoft.com/office/drawing/2014/main" id="{85360464-C4DD-4A0A-9AE7-63549A78F7DA}"/>
            </a:ext>
          </a:extLst>
        </xdr:cNvPr>
        <xdr:cNvCxnSpPr/>
      </xdr:nvCxnSpPr>
      <xdr:spPr>
        <a:xfrm flipV="1">
          <a:off x="2676525" y="3238500"/>
          <a:ext cx="0" cy="3429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53975</xdr:colOff>
      <xdr:row>8</xdr:row>
      <xdr:rowOff>181841</xdr:rowOff>
    </xdr:from>
    <xdr:to>
      <xdr:col>6</xdr:col>
      <xdr:colOff>53975</xdr:colOff>
      <xdr:row>16</xdr:row>
      <xdr:rowOff>0</xdr:rowOff>
    </xdr:to>
    <xdr:cxnSp macro="">
      <xdr:nvCxnSpPr>
        <xdr:cNvPr id="1414" name="line02">
          <a:extLst>
            <a:ext uri="{FF2B5EF4-FFF2-40B4-BE49-F238E27FC236}">
              <a16:creationId xmlns:a16="http://schemas.microsoft.com/office/drawing/2014/main" id="{15B9D4C7-B361-4F74-AF38-0495AF7DDE8A}"/>
            </a:ext>
          </a:extLst>
        </xdr:cNvPr>
        <xdr:cNvCxnSpPr/>
      </xdr:nvCxnSpPr>
      <xdr:spPr>
        <a:xfrm flipV="1">
          <a:off x="33115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8</xdr:row>
      <xdr:rowOff>181841</xdr:rowOff>
    </xdr:from>
    <xdr:to>
      <xdr:col>5</xdr:col>
      <xdr:colOff>317500</xdr:colOff>
      <xdr:row>16</xdr:row>
      <xdr:rowOff>0</xdr:rowOff>
    </xdr:to>
    <xdr:cxnSp macro="">
      <xdr:nvCxnSpPr>
        <xdr:cNvPr id="1415" name="line02">
          <a:extLst>
            <a:ext uri="{FF2B5EF4-FFF2-40B4-BE49-F238E27FC236}">
              <a16:creationId xmlns:a16="http://schemas.microsoft.com/office/drawing/2014/main" id="{2ACAC875-39CE-4124-8CDB-D9EF78D4B162}"/>
            </a:ext>
          </a:extLst>
        </xdr:cNvPr>
        <xdr:cNvCxnSpPr/>
      </xdr:nvCxnSpPr>
      <xdr:spPr>
        <a:xfrm flipV="1">
          <a:off x="29940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16</xdr:row>
      <xdr:rowOff>0</xdr:rowOff>
    </xdr:from>
    <xdr:to>
      <xdr:col>6</xdr:col>
      <xdr:colOff>79375</xdr:colOff>
      <xdr:row>16</xdr:row>
      <xdr:rowOff>0</xdr:rowOff>
    </xdr:to>
    <xdr:cxnSp macro="">
      <xdr:nvCxnSpPr>
        <xdr:cNvPr id="1416" name="line02">
          <a:extLst>
            <a:ext uri="{FF2B5EF4-FFF2-40B4-BE49-F238E27FC236}">
              <a16:creationId xmlns:a16="http://schemas.microsoft.com/office/drawing/2014/main" id="{92942F75-7839-4254-8724-D8E69794785E}"/>
            </a:ext>
          </a:extLst>
        </xdr:cNvPr>
        <xdr:cNvCxnSpPr/>
      </xdr:nvCxnSpPr>
      <xdr:spPr>
        <a:xfrm>
          <a:off x="2740025" y="3200400"/>
          <a:ext cx="5969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8</xdr:row>
      <xdr:rowOff>181841</xdr:rowOff>
    </xdr:from>
    <xdr:to>
      <xdr:col>6</xdr:col>
      <xdr:colOff>79375</xdr:colOff>
      <xdr:row>8</xdr:row>
      <xdr:rowOff>181841</xdr:rowOff>
    </xdr:to>
    <xdr:cxnSp macro="">
      <xdr:nvCxnSpPr>
        <xdr:cNvPr id="1417" name="line02">
          <a:extLst>
            <a:ext uri="{FF2B5EF4-FFF2-40B4-BE49-F238E27FC236}">
              <a16:creationId xmlns:a16="http://schemas.microsoft.com/office/drawing/2014/main" id="{FCF333C1-D010-4F5E-B533-A528936FFFC3}"/>
            </a:ext>
          </a:extLst>
        </xdr:cNvPr>
        <xdr:cNvCxnSpPr/>
      </xdr:nvCxnSpPr>
      <xdr:spPr>
        <a:xfrm>
          <a:off x="2740025" y="1782041"/>
          <a:ext cx="5969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3</xdr:row>
      <xdr:rowOff>0</xdr:rowOff>
    </xdr:from>
    <xdr:to>
      <xdr:col>6</xdr:col>
      <xdr:colOff>92075</xdr:colOff>
      <xdr:row>6</xdr:row>
      <xdr:rowOff>34925</xdr:rowOff>
    </xdr:to>
    <xdr:sp macro="" textlink="">
      <xdr:nvSpPr>
        <xdr:cNvPr id="1418" name="textboxDf">
          <a:extLst>
            <a:ext uri="{FF2B5EF4-FFF2-40B4-BE49-F238E27FC236}">
              <a16:creationId xmlns:a16="http://schemas.microsoft.com/office/drawing/2014/main" id="{345C7B7F-5CC2-4D34-AB64-A1A850470A1E}"/>
            </a:ext>
          </a:extLst>
        </xdr:cNvPr>
        <xdr:cNvSpPr txBox="1"/>
      </xdr:nvSpPr>
      <xdr:spPr>
        <a:xfrm rot="16200000">
          <a:off x="2905125" y="7905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700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127000</xdr:colOff>
      <xdr:row>3</xdr:row>
      <xdr:rowOff>128876</xdr:rowOff>
    </xdr:from>
    <xdr:to>
      <xdr:col>5</xdr:col>
      <xdr:colOff>381000</xdr:colOff>
      <xdr:row>6</xdr:row>
      <xdr:rowOff>163801</xdr:rowOff>
    </xdr:to>
    <xdr:sp macro="" textlink="">
      <xdr:nvSpPr>
        <xdr:cNvPr id="1419" name="textboxD">
          <a:extLst>
            <a:ext uri="{FF2B5EF4-FFF2-40B4-BE49-F238E27FC236}">
              <a16:creationId xmlns:a16="http://schemas.microsoft.com/office/drawing/2014/main" id="{5183AC4F-C5DD-4D30-A391-B5347BCEBB2E}"/>
            </a:ext>
          </a:extLst>
        </xdr:cNvPr>
        <xdr:cNvSpPr txBox="1"/>
      </xdr:nvSpPr>
      <xdr:spPr>
        <a:xfrm rot="16200000">
          <a:off x="2613025" y="919451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300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444500</xdr:colOff>
      <xdr:row>10</xdr:row>
      <xdr:rowOff>158634</xdr:rowOff>
    </xdr:from>
    <xdr:to>
      <xdr:col>6</xdr:col>
      <xdr:colOff>117475</xdr:colOff>
      <xdr:row>13</xdr:row>
      <xdr:rowOff>193559</xdr:rowOff>
    </xdr:to>
    <xdr:sp macro="" textlink="">
      <xdr:nvSpPr>
        <xdr:cNvPr id="1420" name="textboxB">
          <a:extLst>
            <a:ext uri="{FF2B5EF4-FFF2-40B4-BE49-F238E27FC236}">
              <a16:creationId xmlns:a16="http://schemas.microsoft.com/office/drawing/2014/main" id="{93A77DD3-D9FC-4A8B-9B36-102AD03792B1}"/>
            </a:ext>
          </a:extLst>
        </xdr:cNvPr>
        <xdr:cNvSpPr txBox="1"/>
      </xdr:nvSpPr>
      <xdr:spPr>
        <a:xfrm rot="16200000">
          <a:off x="2930525" y="2349384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1200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114300</xdr:colOff>
      <xdr:row>8</xdr:row>
      <xdr:rowOff>133176</xdr:rowOff>
    </xdr:from>
    <xdr:to>
      <xdr:col>5</xdr:col>
      <xdr:colOff>368300</xdr:colOff>
      <xdr:row>11</xdr:row>
      <xdr:rowOff>168101</xdr:rowOff>
    </xdr:to>
    <xdr:sp macro="" textlink="">
      <xdr:nvSpPr>
        <xdr:cNvPr id="1421" name="textboxl2">
          <a:extLst>
            <a:ext uri="{FF2B5EF4-FFF2-40B4-BE49-F238E27FC236}">
              <a16:creationId xmlns:a16="http://schemas.microsoft.com/office/drawing/2014/main" id="{51752205-819A-4CDD-AD2E-8B9D72BA99AD}"/>
            </a:ext>
          </a:extLst>
        </xdr:cNvPr>
        <xdr:cNvSpPr txBox="1"/>
      </xdr:nvSpPr>
      <xdr:spPr>
        <a:xfrm rot="16200000">
          <a:off x="2600325" y="1923876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600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114300</xdr:colOff>
      <xdr:row>11</xdr:row>
      <xdr:rowOff>163945</xdr:rowOff>
    </xdr:from>
    <xdr:to>
      <xdr:col>5</xdr:col>
      <xdr:colOff>368300</xdr:colOff>
      <xdr:row>15</xdr:row>
      <xdr:rowOff>125845</xdr:rowOff>
    </xdr:to>
    <xdr:sp macro="" textlink="">
      <xdr:nvSpPr>
        <xdr:cNvPr id="1422" name="textboxex">
          <a:extLst>
            <a:ext uri="{FF2B5EF4-FFF2-40B4-BE49-F238E27FC236}">
              <a16:creationId xmlns:a16="http://schemas.microsoft.com/office/drawing/2014/main" id="{802265E0-1C19-4257-B14F-B8255CFE934D}"/>
            </a:ext>
          </a:extLst>
        </xdr:cNvPr>
        <xdr:cNvSpPr txBox="1"/>
      </xdr:nvSpPr>
      <xdr:spPr>
        <a:xfrm rot="16200000">
          <a:off x="2536825" y="2618220"/>
          <a:ext cx="76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ey=0</a:t>
          </a:r>
          <a:endParaRPr kumimoji="1" lang="ja-JP" altLang="en-US" sz="1100"/>
        </a:p>
      </xdr:txBody>
    </xdr:sp>
    <xdr:clientData/>
  </xdr:twoCellAnchor>
  <xdr:twoCellAnchor>
    <xdr:from>
      <xdr:col>2</xdr:col>
      <xdr:colOff>466552</xdr:colOff>
      <xdr:row>16</xdr:row>
      <xdr:rowOff>190500</xdr:rowOff>
    </xdr:from>
    <xdr:to>
      <xdr:col>3</xdr:col>
      <xdr:colOff>520527</xdr:colOff>
      <xdr:row>18</xdr:row>
      <xdr:rowOff>44450</xdr:rowOff>
    </xdr:to>
    <xdr:sp macro="" textlink="">
      <xdr:nvSpPr>
        <xdr:cNvPr id="1423" name="textboxl">
          <a:extLst>
            <a:ext uri="{FF2B5EF4-FFF2-40B4-BE49-F238E27FC236}">
              <a16:creationId xmlns:a16="http://schemas.microsoft.com/office/drawing/2014/main" id="{FB5142B7-0C01-4885-94D3-ACF90D14B161}"/>
            </a:ext>
          </a:extLst>
        </xdr:cNvPr>
        <xdr:cNvSpPr txBox="1"/>
      </xdr:nvSpPr>
      <xdr:spPr>
        <a:xfrm>
          <a:off x="1400002" y="33909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1800</a:t>
          </a:r>
          <a:endParaRPr kumimoji="1" lang="ja-JP" altLang="en-US" sz="1100"/>
        </a:p>
      </xdr:txBody>
    </xdr:sp>
    <xdr:clientData/>
  </xdr:twoCellAnchor>
  <xdr:twoCellAnchor>
    <xdr:from>
      <xdr:col>3</xdr:col>
      <xdr:colOff>417412</xdr:colOff>
      <xdr:row>16</xdr:row>
      <xdr:rowOff>0</xdr:rowOff>
    </xdr:from>
    <xdr:to>
      <xdr:col>4</xdr:col>
      <xdr:colOff>471387</xdr:colOff>
      <xdr:row>17</xdr:row>
      <xdr:rowOff>53975</xdr:rowOff>
    </xdr:to>
    <xdr:sp macro="" textlink="">
      <xdr:nvSpPr>
        <xdr:cNvPr id="1424" name="textboxl2">
          <a:extLst>
            <a:ext uri="{FF2B5EF4-FFF2-40B4-BE49-F238E27FC236}">
              <a16:creationId xmlns:a16="http://schemas.microsoft.com/office/drawing/2014/main" id="{B98C32E6-E30A-4A22-87F6-79D9B80EE126}"/>
            </a:ext>
          </a:extLst>
        </xdr:cNvPr>
        <xdr:cNvSpPr txBox="1"/>
      </xdr:nvSpPr>
      <xdr:spPr>
        <a:xfrm>
          <a:off x="1931887" y="32004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900</a:t>
          </a:r>
          <a:endParaRPr kumimoji="1" lang="ja-JP" altLang="en-US" sz="1100"/>
        </a:p>
      </xdr:txBody>
    </xdr:sp>
    <xdr:clientData/>
  </xdr:twoCellAnchor>
  <xdr:twoCellAnchor>
    <xdr:from>
      <xdr:col>2</xdr:col>
      <xdr:colOff>44306</xdr:colOff>
      <xdr:row>16</xdr:row>
      <xdr:rowOff>0</xdr:rowOff>
    </xdr:from>
    <xdr:to>
      <xdr:col>3</xdr:col>
      <xdr:colOff>352281</xdr:colOff>
      <xdr:row>17</xdr:row>
      <xdr:rowOff>53975</xdr:rowOff>
    </xdr:to>
    <xdr:sp macro="" textlink="">
      <xdr:nvSpPr>
        <xdr:cNvPr id="1425" name="textboxex">
          <a:extLst>
            <a:ext uri="{FF2B5EF4-FFF2-40B4-BE49-F238E27FC236}">
              <a16:creationId xmlns:a16="http://schemas.microsoft.com/office/drawing/2014/main" id="{22A2794E-1EA1-4F3E-B77E-D47877BF6A9A}"/>
            </a:ext>
          </a:extLst>
        </xdr:cNvPr>
        <xdr:cNvSpPr txBox="1"/>
      </xdr:nvSpPr>
      <xdr:spPr>
        <a:xfrm>
          <a:off x="977756" y="3200400"/>
          <a:ext cx="889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ex=0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6</xdr:col>
      <xdr:colOff>180975</xdr:colOff>
      <xdr:row>3</xdr:row>
      <xdr:rowOff>0</xdr:rowOff>
    </xdr:to>
    <xdr:cxnSp macro="">
      <xdr:nvCxnSpPr>
        <xdr:cNvPr id="13361" name="line01">
          <a:extLst>
            <a:ext uri="{FF2B5EF4-FFF2-40B4-BE49-F238E27FC236}">
              <a16:creationId xmlns:a16="http://schemas.microsoft.com/office/drawing/2014/main" id="{6F15A8F6-2A10-4FEA-A275-4E93B14AC64C}"/>
            </a:ext>
          </a:extLst>
        </xdr:cNvPr>
        <xdr:cNvCxnSpPr/>
      </xdr:nvCxnSpPr>
      <xdr:spPr>
        <a:xfrm>
          <a:off x="352425" y="600075"/>
          <a:ext cx="3086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</xdr:row>
      <xdr:rowOff>184150</xdr:rowOff>
    </xdr:from>
    <xdr:to>
      <xdr:col>2</xdr:col>
      <xdr:colOff>53975</xdr:colOff>
      <xdr:row>3</xdr:row>
      <xdr:rowOff>38100</xdr:rowOff>
    </xdr:to>
    <xdr:sp macro="" textlink="">
      <xdr:nvSpPr>
        <xdr:cNvPr id="13362" name="textbox01">
          <a:extLst>
            <a:ext uri="{FF2B5EF4-FFF2-40B4-BE49-F238E27FC236}">
              <a16:creationId xmlns:a16="http://schemas.microsoft.com/office/drawing/2014/main" id="{B0FF01EC-1A82-4459-A033-F819FB4AC4CE}"/>
            </a:ext>
          </a:extLst>
        </xdr:cNvPr>
        <xdr:cNvSpPr txBox="1"/>
      </xdr:nvSpPr>
      <xdr:spPr>
        <a:xfrm>
          <a:off x="352425" y="3841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▽GL</a:t>
          </a:r>
          <a:endParaRPr kumimoji="1" lang="ja-JP" altLang="en-US" sz="1100"/>
        </a:p>
      </xdr:txBody>
    </xdr:sp>
    <xdr:clientData/>
  </xdr:twoCellAnchor>
  <xdr:twoCellAnchor>
    <xdr:from>
      <xdr:col>3</xdr:col>
      <xdr:colOff>98281</xdr:colOff>
      <xdr:row>2</xdr:row>
      <xdr:rowOff>73025</xdr:rowOff>
    </xdr:from>
    <xdr:to>
      <xdr:col>3</xdr:col>
      <xdr:colOff>98281</xdr:colOff>
      <xdr:row>16</xdr:row>
      <xdr:rowOff>190500</xdr:rowOff>
    </xdr:to>
    <xdr:cxnSp macro="">
      <xdr:nvCxnSpPr>
        <xdr:cNvPr id="13363" name="line01">
          <a:extLst>
            <a:ext uri="{FF2B5EF4-FFF2-40B4-BE49-F238E27FC236}">
              <a16:creationId xmlns:a16="http://schemas.microsoft.com/office/drawing/2014/main" id="{23499EE7-B08F-464C-88BF-35AFDA5E0F44}"/>
            </a:ext>
          </a:extLst>
        </xdr:cNvPr>
        <xdr:cNvCxnSpPr/>
      </xdr:nvCxnSpPr>
      <xdr:spPr>
        <a:xfrm flipV="1">
          <a:off x="1612756" y="473075"/>
          <a:ext cx="0" cy="29178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98281</xdr:colOff>
      <xdr:row>2</xdr:row>
      <xdr:rowOff>73025</xdr:rowOff>
    </xdr:from>
    <xdr:to>
      <xdr:col>3</xdr:col>
      <xdr:colOff>98281</xdr:colOff>
      <xdr:row>16</xdr:row>
      <xdr:rowOff>190500</xdr:rowOff>
    </xdr:to>
    <xdr:cxnSp macro="">
      <xdr:nvCxnSpPr>
        <xdr:cNvPr id="13364" name="line01">
          <a:extLst>
            <a:ext uri="{FF2B5EF4-FFF2-40B4-BE49-F238E27FC236}">
              <a16:creationId xmlns:a16="http://schemas.microsoft.com/office/drawing/2014/main" id="{82D33FAF-75E0-49DD-8CB6-8DDE624B1AB0}"/>
            </a:ext>
          </a:extLst>
        </xdr:cNvPr>
        <xdr:cNvCxnSpPr/>
      </xdr:nvCxnSpPr>
      <xdr:spPr>
        <a:xfrm flipV="1">
          <a:off x="1612756" y="473075"/>
          <a:ext cx="0" cy="29178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294986</xdr:colOff>
      <xdr:row>12</xdr:row>
      <xdr:rowOff>90920</xdr:rowOff>
    </xdr:from>
    <xdr:to>
      <xdr:col>5</xdr:col>
      <xdr:colOff>342900</xdr:colOff>
      <xdr:row>12</xdr:row>
      <xdr:rowOff>90920</xdr:rowOff>
    </xdr:to>
    <xdr:cxnSp macro="">
      <xdr:nvCxnSpPr>
        <xdr:cNvPr id="13365" name="line01">
          <a:extLst>
            <a:ext uri="{FF2B5EF4-FFF2-40B4-BE49-F238E27FC236}">
              <a16:creationId xmlns:a16="http://schemas.microsoft.com/office/drawing/2014/main" id="{6CFCB0C3-599E-4EAD-8A53-D4B349A224E3}"/>
            </a:ext>
          </a:extLst>
        </xdr:cNvPr>
        <xdr:cNvCxnSpPr/>
      </xdr:nvCxnSpPr>
      <xdr:spPr>
        <a:xfrm>
          <a:off x="294986" y="2491220"/>
          <a:ext cx="27244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294986</xdr:colOff>
      <xdr:row>12</xdr:row>
      <xdr:rowOff>90920</xdr:rowOff>
    </xdr:from>
    <xdr:to>
      <xdr:col>5</xdr:col>
      <xdr:colOff>342900</xdr:colOff>
      <xdr:row>12</xdr:row>
      <xdr:rowOff>90920</xdr:rowOff>
    </xdr:to>
    <xdr:cxnSp macro="">
      <xdr:nvCxnSpPr>
        <xdr:cNvPr id="13366" name="line01">
          <a:extLst>
            <a:ext uri="{FF2B5EF4-FFF2-40B4-BE49-F238E27FC236}">
              <a16:creationId xmlns:a16="http://schemas.microsoft.com/office/drawing/2014/main" id="{E4646856-474E-4B26-B5FC-6786199A7EC0}"/>
            </a:ext>
          </a:extLst>
        </xdr:cNvPr>
        <xdr:cNvCxnSpPr/>
      </xdr:nvCxnSpPr>
      <xdr:spPr>
        <a:xfrm>
          <a:off x="294986" y="2491220"/>
          <a:ext cx="27244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0</xdr:rowOff>
    </xdr:from>
    <xdr:to>
      <xdr:col>5</xdr:col>
      <xdr:colOff>0</xdr:colOff>
      <xdr:row>16</xdr:row>
      <xdr:rowOff>0</xdr:rowOff>
    </xdr:to>
    <xdr:cxnSp macro="">
      <xdr:nvCxnSpPr>
        <xdr:cNvPr id="13367" name="line02">
          <a:extLst>
            <a:ext uri="{FF2B5EF4-FFF2-40B4-BE49-F238E27FC236}">
              <a16:creationId xmlns:a16="http://schemas.microsoft.com/office/drawing/2014/main" id="{EAFCCCBE-3E36-40AC-B4B2-D2491B02EB09}"/>
            </a:ext>
          </a:extLst>
        </xdr:cNvPr>
        <xdr:cNvCxnSpPr/>
      </xdr:nvCxnSpPr>
      <xdr:spPr>
        <a:xfrm>
          <a:off x="548986" y="32004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8</xdr:row>
      <xdr:rowOff>181841</xdr:rowOff>
    </xdr:from>
    <xdr:to>
      <xdr:col>5</xdr:col>
      <xdr:colOff>0</xdr:colOff>
      <xdr:row>8</xdr:row>
      <xdr:rowOff>181841</xdr:rowOff>
    </xdr:to>
    <xdr:cxnSp macro="">
      <xdr:nvCxnSpPr>
        <xdr:cNvPr id="13368" name="line02">
          <a:extLst>
            <a:ext uri="{FF2B5EF4-FFF2-40B4-BE49-F238E27FC236}">
              <a16:creationId xmlns:a16="http://schemas.microsoft.com/office/drawing/2014/main" id="{1378233D-92AC-4EF1-B639-C920D23E7A66}"/>
            </a:ext>
          </a:extLst>
        </xdr:cNvPr>
        <xdr:cNvCxnSpPr/>
      </xdr:nvCxnSpPr>
      <xdr:spPr>
        <a:xfrm>
          <a:off x="548986" y="178204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8</xdr:row>
      <xdr:rowOff>181841</xdr:rowOff>
    </xdr:from>
    <xdr:to>
      <xdr:col>1</xdr:col>
      <xdr:colOff>196561</xdr:colOff>
      <xdr:row>16</xdr:row>
      <xdr:rowOff>0</xdr:rowOff>
    </xdr:to>
    <xdr:cxnSp macro="">
      <xdr:nvCxnSpPr>
        <xdr:cNvPr id="13369" name="line02">
          <a:extLst>
            <a:ext uri="{FF2B5EF4-FFF2-40B4-BE49-F238E27FC236}">
              <a16:creationId xmlns:a16="http://schemas.microsoft.com/office/drawing/2014/main" id="{55E0C38C-74A0-4BDA-96B3-C929CEA2CE7E}"/>
            </a:ext>
          </a:extLst>
        </xdr:cNvPr>
        <xdr:cNvCxnSpPr/>
      </xdr:nvCxnSpPr>
      <xdr:spPr>
        <a:xfrm flipV="1">
          <a:off x="548986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8</xdr:row>
      <xdr:rowOff>181841</xdr:rowOff>
    </xdr:from>
    <xdr:to>
      <xdr:col>5</xdr:col>
      <xdr:colOff>0</xdr:colOff>
      <xdr:row>16</xdr:row>
      <xdr:rowOff>0</xdr:rowOff>
    </xdr:to>
    <xdr:cxnSp macro="">
      <xdr:nvCxnSpPr>
        <xdr:cNvPr id="13370" name="line02">
          <a:extLst>
            <a:ext uri="{FF2B5EF4-FFF2-40B4-BE49-F238E27FC236}">
              <a16:creationId xmlns:a16="http://schemas.microsoft.com/office/drawing/2014/main" id="{C7AD7C8E-E32D-4533-8E64-C49A0374620F}"/>
            </a:ext>
          </a:extLst>
        </xdr:cNvPr>
        <xdr:cNvCxnSpPr/>
      </xdr:nvCxnSpPr>
      <xdr:spPr>
        <a:xfrm flipV="1">
          <a:off x="26765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7</xdr:row>
      <xdr:rowOff>27276</xdr:rowOff>
    </xdr:from>
    <xdr:to>
      <xdr:col>5</xdr:col>
      <xdr:colOff>0</xdr:colOff>
      <xdr:row>7</xdr:row>
      <xdr:rowOff>27276</xdr:rowOff>
    </xdr:to>
    <xdr:cxnSp macro="">
      <xdr:nvCxnSpPr>
        <xdr:cNvPr id="13371" name="line02">
          <a:extLst>
            <a:ext uri="{FF2B5EF4-FFF2-40B4-BE49-F238E27FC236}">
              <a16:creationId xmlns:a16="http://schemas.microsoft.com/office/drawing/2014/main" id="{B121C1B4-2B99-4FE6-B3A2-84AA4D594DB5}"/>
            </a:ext>
          </a:extLst>
        </xdr:cNvPr>
        <xdr:cNvCxnSpPr/>
      </xdr:nvCxnSpPr>
      <xdr:spPr>
        <a:xfrm>
          <a:off x="548986" y="142745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5</xdr:row>
      <xdr:rowOff>72736</xdr:rowOff>
    </xdr:from>
    <xdr:to>
      <xdr:col>5</xdr:col>
      <xdr:colOff>0</xdr:colOff>
      <xdr:row>5</xdr:row>
      <xdr:rowOff>72736</xdr:rowOff>
    </xdr:to>
    <xdr:cxnSp macro="">
      <xdr:nvCxnSpPr>
        <xdr:cNvPr id="13372" name="line02">
          <a:extLst>
            <a:ext uri="{FF2B5EF4-FFF2-40B4-BE49-F238E27FC236}">
              <a16:creationId xmlns:a16="http://schemas.microsoft.com/office/drawing/2014/main" id="{DB9FEBD8-E603-44AE-B7EE-93D96A36B355}"/>
            </a:ext>
          </a:extLst>
        </xdr:cNvPr>
        <xdr:cNvCxnSpPr/>
      </xdr:nvCxnSpPr>
      <xdr:spPr>
        <a:xfrm>
          <a:off x="548986" y="107286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5</xdr:row>
      <xdr:rowOff>72736</xdr:rowOff>
    </xdr:from>
    <xdr:to>
      <xdr:col>1</xdr:col>
      <xdr:colOff>196561</xdr:colOff>
      <xdr:row>7</xdr:row>
      <xdr:rowOff>27276</xdr:rowOff>
    </xdr:to>
    <xdr:cxnSp macro="">
      <xdr:nvCxnSpPr>
        <xdr:cNvPr id="13373" name="line02">
          <a:extLst>
            <a:ext uri="{FF2B5EF4-FFF2-40B4-BE49-F238E27FC236}">
              <a16:creationId xmlns:a16="http://schemas.microsoft.com/office/drawing/2014/main" id="{65A2D20E-595F-4029-8F3A-E54D513A445C}"/>
            </a:ext>
          </a:extLst>
        </xdr:cNvPr>
        <xdr:cNvCxnSpPr/>
      </xdr:nvCxnSpPr>
      <xdr:spPr>
        <a:xfrm flipV="1">
          <a:off x="548986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</xdr:row>
      <xdr:rowOff>72736</xdr:rowOff>
    </xdr:from>
    <xdr:to>
      <xdr:col>5</xdr:col>
      <xdr:colOff>0</xdr:colOff>
      <xdr:row>7</xdr:row>
      <xdr:rowOff>27276</xdr:rowOff>
    </xdr:to>
    <xdr:cxnSp macro="">
      <xdr:nvCxnSpPr>
        <xdr:cNvPr id="13374" name="line02">
          <a:extLst>
            <a:ext uri="{FF2B5EF4-FFF2-40B4-BE49-F238E27FC236}">
              <a16:creationId xmlns:a16="http://schemas.microsoft.com/office/drawing/2014/main" id="{6426B99A-649E-4715-8AAD-65E8D099DA8D}"/>
            </a:ext>
          </a:extLst>
        </xdr:cNvPr>
        <xdr:cNvCxnSpPr/>
      </xdr:nvCxnSpPr>
      <xdr:spPr>
        <a:xfrm flipV="1">
          <a:off x="2676525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3</xdr:row>
      <xdr:rowOff>0</xdr:rowOff>
    </xdr:from>
    <xdr:to>
      <xdr:col>2</xdr:col>
      <xdr:colOff>236068</xdr:colOff>
      <xdr:row>5</xdr:row>
      <xdr:rowOff>72736</xdr:rowOff>
    </xdr:to>
    <xdr:cxnSp macro="">
      <xdr:nvCxnSpPr>
        <xdr:cNvPr id="13375" name="line02">
          <a:extLst>
            <a:ext uri="{FF2B5EF4-FFF2-40B4-BE49-F238E27FC236}">
              <a16:creationId xmlns:a16="http://schemas.microsoft.com/office/drawing/2014/main" id="{4F1CC455-3091-4FED-8AB5-E789E44CC568}"/>
            </a:ext>
          </a:extLst>
        </xdr:cNvPr>
        <xdr:cNvCxnSpPr/>
      </xdr:nvCxnSpPr>
      <xdr:spPr>
        <a:xfrm flipV="1">
          <a:off x="1169518" y="600075"/>
          <a:ext cx="0" cy="47278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541518</xdr:colOff>
      <xdr:row>3</xdr:row>
      <xdr:rowOff>0</xdr:rowOff>
    </xdr:from>
    <xdr:to>
      <xdr:col>3</xdr:col>
      <xdr:colOff>541518</xdr:colOff>
      <xdr:row>5</xdr:row>
      <xdr:rowOff>72736</xdr:rowOff>
    </xdr:to>
    <xdr:cxnSp macro="">
      <xdr:nvCxnSpPr>
        <xdr:cNvPr id="13376" name="line02">
          <a:extLst>
            <a:ext uri="{FF2B5EF4-FFF2-40B4-BE49-F238E27FC236}">
              <a16:creationId xmlns:a16="http://schemas.microsoft.com/office/drawing/2014/main" id="{6652F5EC-B99C-49DD-B533-C4CB90FB879B}"/>
            </a:ext>
          </a:extLst>
        </xdr:cNvPr>
        <xdr:cNvCxnSpPr/>
      </xdr:nvCxnSpPr>
      <xdr:spPr>
        <a:xfrm flipV="1">
          <a:off x="2055993" y="600075"/>
          <a:ext cx="0" cy="47278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14</xdr:row>
      <xdr:rowOff>134108</xdr:rowOff>
    </xdr:from>
    <xdr:to>
      <xdr:col>3</xdr:col>
      <xdr:colOff>541518</xdr:colOff>
      <xdr:row>14</xdr:row>
      <xdr:rowOff>134108</xdr:rowOff>
    </xdr:to>
    <xdr:cxnSp macro="">
      <xdr:nvCxnSpPr>
        <xdr:cNvPr id="13377" name="line02">
          <a:extLst>
            <a:ext uri="{FF2B5EF4-FFF2-40B4-BE49-F238E27FC236}">
              <a16:creationId xmlns:a16="http://schemas.microsoft.com/office/drawing/2014/main" id="{7905C567-09F3-4A8F-AF01-1F42FB980668}"/>
            </a:ext>
          </a:extLst>
        </xdr:cNvPr>
        <xdr:cNvCxnSpPr/>
      </xdr:nvCxnSpPr>
      <xdr:spPr>
        <a:xfrm>
          <a:off x="1169518" y="2934458"/>
          <a:ext cx="886475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10</xdr:row>
      <xdr:rowOff>47733</xdr:rowOff>
    </xdr:from>
    <xdr:to>
      <xdr:col>3</xdr:col>
      <xdr:colOff>541518</xdr:colOff>
      <xdr:row>10</xdr:row>
      <xdr:rowOff>47733</xdr:rowOff>
    </xdr:to>
    <xdr:cxnSp macro="">
      <xdr:nvCxnSpPr>
        <xdr:cNvPr id="13378" name="line02">
          <a:extLst>
            <a:ext uri="{FF2B5EF4-FFF2-40B4-BE49-F238E27FC236}">
              <a16:creationId xmlns:a16="http://schemas.microsoft.com/office/drawing/2014/main" id="{6B5C9886-25CD-42BC-91AF-D63FA5196C5B}"/>
            </a:ext>
          </a:extLst>
        </xdr:cNvPr>
        <xdr:cNvCxnSpPr/>
      </xdr:nvCxnSpPr>
      <xdr:spPr>
        <a:xfrm>
          <a:off x="1169518" y="2047983"/>
          <a:ext cx="886475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10</xdr:row>
      <xdr:rowOff>47733</xdr:rowOff>
    </xdr:from>
    <xdr:to>
      <xdr:col>2</xdr:col>
      <xdr:colOff>236068</xdr:colOff>
      <xdr:row>14</xdr:row>
      <xdr:rowOff>134108</xdr:rowOff>
    </xdr:to>
    <xdr:cxnSp macro="">
      <xdr:nvCxnSpPr>
        <xdr:cNvPr id="13379" name="line02">
          <a:extLst>
            <a:ext uri="{FF2B5EF4-FFF2-40B4-BE49-F238E27FC236}">
              <a16:creationId xmlns:a16="http://schemas.microsoft.com/office/drawing/2014/main" id="{98E3239A-DE86-43BF-8D49-572CE92ECE7E}"/>
            </a:ext>
          </a:extLst>
        </xdr:cNvPr>
        <xdr:cNvCxnSpPr/>
      </xdr:nvCxnSpPr>
      <xdr:spPr>
        <a:xfrm flipV="1">
          <a:off x="1169518" y="2047983"/>
          <a:ext cx="0" cy="88647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541518</xdr:colOff>
      <xdr:row>10</xdr:row>
      <xdr:rowOff>47733</xdr:rowOff>
    </xdr:from>
    <xdr:to>
      <xdr:col>3</xdr:col>
      <xdr:colOff>541518</xdr:colOff>
      <xdr:row>14</xdr:row>
      <xdr:rowOff>134108</xdr:rowOff>
    </xdr:to>
    <xdr:cxnSp macro="">
      <xdr:nvCxnSpPr>
        <xdr:cNvPr id="13380" name="line02">
          <a:extLst>
            <a:ext uri="{FF2B5EF4-FFF2-40B4-BE49-F238E27FC236}">
              <a16:creationId xmlns:a16="http://schemas.microsoft.com/office/drawing/2014/main" id="{CE2E1722-14CE-4193-B576-10D617F7BFF8}"/>
            </a:ext>
          </a:extLst>
        </xdr:cNvPr>
        <xdr:cNvCxnSpPr/>
      </xdr:nvCxnSpPr>
      <xdr:spPr>
        <a:xfrm flipV="1">
          <a:off x="2055993" y="2047983"/>
          <a:ext cx="0" cy="88647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53975</xdr:colOff>
      <xdr:row>3</xdr:row>
      <xdr:rowOff>0</xdr:rowOff>
    </xdr:from>
    <xdr:to>
      <xdr:col>6</xdr:col>
      <xdr:colOff>53975</xdr:colOff>
      <xdr:row>7</xdr:row>
      <xdr:rowOff>27276</xdr:rowOff>
    </xdr:to>
    <xdr:cxnSp macro="">
      <xdr:nvCxnSpPr>
        <xdr:cNvPr id="13381" name="line02">
          <a:extLst>
            <a:ext uri="{FF2B5EF4-FFF2-40B4-BE49-F238E27FC236}">
              <a16:creationId xmlns:a16="http://schemas.microsoft.com/office/drawing/2014/main" id="{680A750C-167A-4681-837E-DF1849841E2B}"/>
            </a:ext>
          </a:extLst>
        </xdr:cNvPr>
        <xdr:cNvCxnSpPr/>
      </xdr:nvCxnSpPr>
      <xdr:spPr>
        <a:xfrm flipV="1">
          <a:off x="3311525" y="600075"/>
          <a:ext cx="0" cy="82737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5</xdr:row>
      <xdr:rowOff>72736</xdr:rowOff>
    </xdr:from>
    <xdr:to>
      <xdr:col>5</xdr:col>
      <xdr:colOff>317500</xdr:colOff>
      <xdr:row>7</xdr:row>
      <xdr:rowOff>27276</xdr:rowOff>
    </xdr:to>
    <xdr:cxnSp macro="">
      <xdr:nvCxnSpPr>
        <xdr:cNvPr id="13382" name="line02">
          <a:extLst>
            <a:ext uri="{FF2B5EF4-FFF2-40B4-BE49-F238E27FC236}">
              <a16:creationId xmlns:a16="http://schemas.microsoft.com/office/drawing/2014/main" id="{F04A010F-E304-4FB6-B80B-AABF8ADB4687}"/>
            </a:ext>
          </a:extLst>
        </xdr:cNvPr>
        <xdr:cNvCxnSpPr/>
      </xdr:nvCxnSpPr>
      <xdr:spPr>
        <a:xfrm flipV="1">
          <a:off x="2994025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7</xdr:row>
      <xdr:rowOff>27276</xdr:rowOff>
    </xdr:from>
    <xdr:to>
      <xdr:col>6</xdr:col>
      <xdr:colOff>117475</xdr:colOff>
      <xdr:row>7</xdr:row>
      <xdr:rowOff>27276</xdr:rowOff>
    </xdr:to>
    <xdr:cxnSp macro="">
      <xdr:nvCxnSpPr>
        <xdr:cNvPr id="13383" name="line02">
          <a:extLst>
            <a:ext uri="{FF2B5EF4-FFF2-40B4-BE49-F238E27FC236}">
              <a16:creationId xmlns:a16="http://schemas.microsoft.com/office/drawing/2014/main" id="{25005EB1-F1D6-4061-A9FB-3CA955A30AA6}"/>
            </a:ext>
          </a:extLst>
        </xdr:cNvPr>
        <xdr:cNvCxnSpPr/>
      </xdr:nvCxnSpPr>
      <xdr:spPr>
        <a:xfrm>
          <a:off x="2740025" y="1427451"/>
          <a:ext cx="6350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5</xdr:row>
      <xdr:rowOff>72736</xdr:rowOff>
    </xdr:from>
    <xdr:to>
      <xdr:col>5</xdr:col>
      <xdr:colOff>355600</xdr:colOff>
      <xdr:row>5</xdr:row>
      <xdr:rowOff>72736</xdr:rowOff>
    </xdr:to>
    <xdr:cxnSp macro="">
      <xdr:nvCxnSpPr>
        <xdr:cNvPr id="13384" name="line02">
          <a:extLst>
            <a:ext uri="{FF2B5EF4-FFF2-40B4-BE49-F238E27FC236}">
              <a16:creationId xmlns:a16="http://schemas.microsoft.com/office/drawing/2014/main" id="{8F99BD9D-6C66-4B97-9007-C606BDF76B8D}"/>
            </a:ext>
          </a:extLst>
        </xdr:cNvPr>
        <xdr:cNvCxnSpPr/>
      </xdr:nvCxnSpPr>
      <xdr:spPr>
        <a:xfrm>
          <a:off x="2740025" y="1072861"/>
          <a:ext cx="292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17</xdr:row>
      <xdr:rowOff>180975</xdr:rowOff>
    </xdr:from>
    <xdr:to>
      <xdr:col>5</xdr:col>
      <xdr:colOff>0</xdr:colOff>
      <xdr:row>17</xdr:row>
      <xdr:rowOff>180975</xdr:rowOff>
    </xdr:to>
    <xdr:cxnSp macro="">
      <xdr:nvCxnSpPr>
        <xdr:cNvPr id="13385" name="line02">
          <a:extLst>
            <a:ext uri="{FF2B5EF4-FFF2-40B4-BE49-F238E27FC236}">
              <a16:creationId xmlns:a16="http://schemas.microsoft.com/office/drawing/2014/main" id="{E3539619-23A8-42C9-8FCE-2674EF66D072}"/>
            </a:ext>
          </a:extLst>
        </xdr:cNvPr>
        <xdr:cNvCxnSpPr/>
      </xdr:nvCxnSpPr>
      <xdr:spPr>
        <a:xfrm>
          <a:off x="548986" y="35814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190500</xdr:rowOff>
    </xdr:from>
    <xdr:to>
      <xdr:col>5</xdr:col>
      <xdr:colOff>0</xdr:colOff>
      <xdr:row>16</xdr:row>
      <xdr:rowOff>190500</xdr:rowOff>
    </xdr:to>
    <xdr:cxnSp macro="">
      <xdr:nvCxnSpPr>
        <xdr:cNvPr id="13386" name="line02">
          <a:extLst>
            <a:ext uri="{FF2B5EF4-FFF2-40B4-BE49-F238E27FC236}">
              <a16:creationId xmlns:a16="http://schemas.microsoft.com/office/drawing/2014/main" id="{DB38E8B4-5D60-475C-8E83-5D7281D6CED5}"/>
            </a:ext>
          </a:extLst>
        </xdr:cNvPr>
        <xdr:cNvCxnSpPr/>
      </xdr:nvCxnSpPr>
      <xdr:spPr>
        <a:xfrm>
          <a:off x="548986" y="33909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38100</xdr:rowOff>
    </xdr:from>
    <xdr:to>
      <xdr:col>1</xdr:col>
      <xdr:colOff>196561</xdr:colOff>
      <xdr:row>17</xdr:row>
      <xdr:rowOff>180975</xdr:rowOff>
    </xdr:to>
    <xdr:cxnSp macro="">
      <xdr:nvCxnSpPr>
        <xdr:cNvPr id="13387" name="line02">
          <a:extLst>
            <a:ext uri="{FF2B5EF4-FFF2-40B4-BE49-F238E27FC236}">
              <a16:creationId xmlns:a16="http://schemas.microsoft.com/office/drawing/2014/main" id="{76932F31-C803-4537-9F82-848E84EB9B04}"/>
            </a:ext>
          </a:extLst>
        </xdr:cNvPr>
        <xdr:cNvCxnSpPr/>
      </xdr:nvCxnSpPr>
      <xdr:spPr>
        <a:xfrm flipV="1">
          <a:off x="548986" y="3238500"/>
          <a:ext cx="0" cy="3429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38100</xdr:rowOff>
    </xdr:from>
    <xdr:to>
      <xdr:col>5</xdr:col>
      <xdr:colOff>0</xdr:colOff>
      <xdr:row>17</xdr:row>
      <xdr:rowOff>180975</xdr:rowOff>
    </xdr:to>
    <xdr:cxnSp macro="">
      <xdr:nvCxnSpPr>
        <xdr:cNvPr id="13388" name="line02">
          <a:extLst>
            <a:ext uri="{FF2B5EF4-FFF2-40B4-BE49-F238E27FC236}">
              <a16:creationId xmlns:a16="http://schemas.microsoft.com/office/drawing/2014/main" id="{96E4EEA6-63F5-43C0-B63D-19E68750E324}"/>
            </a:ext>
          </a:extLst>
        </xdr:cNvPr>
        <xdr:cNvCxnSpPr/>
      </xdr:nvCxnSpPr>
      <xdr:spPr>
        <a:xfrm flipV="1">
          <a:off x="2676525" y="3238500"/>
          <a:ext cx="0" cy="3429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53975</xdr:colOff>
      <xdr:row>8</xdr:row>
      <xdr:rowOff>181841</xdr:rowOff>
    </xdr:from>
    <xdr:to>
      <xdr:col>6</xdr:col>
      <xdr:colOff>53975</xdr:colOff>
      <xdr:row>16</xdr:row>
      <xdr:rowOff>0</xdr:rowOff>
    </xdr:to>
    <xdr:cxnSp macro="">
      <xdr:nvCxnSpPr>
        <xdr:cNvPr id="13389" name="line02">
          <a:extLst>
            <a:ext uri="{FF2B5EF4-FFF2-40B4-BE49-F238E27FC236}">
              <a16:creationId xmlns:a16="http://schemas.microsoft.com/office/drawing/2014/main" id="{DB8D0FFB-28A9-456E-8CE6-63835CA56AB0}"/>
            </a:ext>
          </a:extLst>
        </xdr:cNvPr>
        <xdr:cNvCxnSpPr/>
      </xdr:nvCxnSpPr>
      <xdr:spPr>
        <a:xfrm flipV="1">
          <a:off x="33115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8</xdr:row>
      <xdr:rowOff>181841</xdr:rowOff>
    </xdr:from>
    <xdr:to>
      <xdr:col>5</xdr:col>
      <xdr:colOff>317500</xdr:colOff>
      <xdr:row>16</xdr:row>
      <xdr:rowOff>0</xdr:rowOff>
    </xdr:to>
    <xdr:cxnSp macro="">
      <xdr:nvCxnSpPr>
        <xdr:cNvPr id="13390" name="line02">
          <a:extLst>
            <a:ext uri="{FF2B5EF4-FFF2-40B4-BE49-F238E27FC236}">
              <a16:creationId xmlns:a16="http://schemas.microsoft.com/office/drawing/2014/main" id="{D890368F-A1E4-43B5-B04E-ED772ED8ED24}"/>
            </a:ext>
          </a:extLst>
        </xdr:cNvPr>
        <xdr:cNvCxnSpPr/>
      </xdr:nvCxnSpPr>
      <xdr:spPr>
        <a:xfrm flipV="1">
          <a:off x="29940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16</xdr:row>
      <xdr:rowOff>0</xdr:rowOff>
    </xdr:from>
    <xdr:to>
      <xdr:col>6</xdr:col>
      <xdr:colOff>79375</xdr:colOff>
      <xdr:row>16</xdr:row>
      <xdr:rowOff>0</xdr:rowOff>
    </xdr:to>
    <xdr:cxnSp macro="">
      <xdr:nvCxnSpPr>
        <xdr:cNvPr id="13391" name="line02">
          <a:extLst>
            <a:ext uri="{FF2B5EF4-FFF2-40B4-BE49-F238E27FC236}">
              <a16:creationId xmlns:a16="http://schemas.microsoft.com/office/drawing/2014/main" id="{69BC562F-515A-47C0-B03A-2ADDEAA6A8C5}"/>
            </a:ext>
          </a:extLst>
        </xdr:cNvPr>
        <xdr:cNvCxnSpPr/>
      </xdr:nvCxnSpPr>
      <xdr:spPr>
        <a:xfrm>
          <a:off x="2740025" y="3200400"/>
          <a:ext cx="5969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8</xdr:row>
      <xdr:rowOff>181841</xdr:rowOff>
    </xdr:from>
    <xdr:to>
      <xdr:col>6</xdr:col>
      <xdr:colOff>79375</xdr:colOff>
      <xdr:row>8</xdr:row>
      <xdr:rowOff>181841</xdr:rowOff>
    </xdr:to>
    <xdr:cxnSp macro="">
      <xdr:nvCxnSpPr>
        <xdr:cNvPr id="13392" name="line02">
          <a:extLst>
            <a:ext uri="{FF2B5EF4-FFF2-40B4-BE49-F238E27FC236}">
              <a16:creationId xmlns:a16="http://schemas.microsoft.com/office/drawing/2014/main" id="{105FF782-2444-4D91-B383-752FD9C08ED0}"/>
            </a:ext>
          </a:extLst>
        </xdr:cNvPr>
        <xdr:cNvCxnSpPr/>
      </xdr:nvCxnSpPr>
      <xdr:spPr>
        <a:xfrm>
          <a:off x="2740025" y="1782041"/>
          <a:ext cx="5969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3</xdr:row>
      <xdr:rowOff>0</xdr:rowOff>
    </xdr:from>
    <xdr:to>
      <xdr:col>6</xdr:col>
      <xdr:colOff>92075</xdr:colOff>
      <xdr:row>6</xdr:row>
      <xdr:rowOff>34925</xdr:rowOff>
    </xdr:to>
    <xdr:sp macro="" textlink="">
      <xdr:nvSpPr>
        <xdr:cNvPr id="13393" name="textboxDf">
          <a:extLst>
            <a:ext uri="{FF2B5EF4-FFF2-40B4-BE49-F238E27FC236}">
              <a16:creationId xmlns:a16="http://schemas.microsoft.com/office/drawing/2014/main" id="{48D63155-CC1C-4E11-BB2C-B5091C2005F4}"/>
            </a:ext>
          </a:extLst>
        </xdr:cNvPr>
        <xdr:cNvSpPr txBox="1"/>
      </xdr:nvSpPr>
      <xdr:spPr>
        <a:xfrm rot="16200000">
          <a:off x="2905125" y="7905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700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127000</xdr:colOff>
      <xdr:row>3</xdr:row>
      <xdr:rowOff>128876</xdr:rowOff>
    </xdr:from>
    <xdr:to>
      <xdr:col>5</xdr:col>
      <xdr:colOff>381000</xdr:colOff>
      <xdr:row>6</xdr:row>
      <xdr:rowOff>163801</xdr:rowOff>
    </xdr:to>
    <xdr:sp macro="" textlink="">
      <xdr:nvSpPr>
        <xdr:cNvPr id="13394" name="textboxD">
          <a:extLst>
            <a:ext uri="{FF2B5EF4-FFF2-40B4-BE49-F238E27FC236}">
              <a16:creationId xmlns:a16="http://schemas.microsoft.com/office/drawing/2014/main" id="{57347FFE-2AED-456D-9572-5015258F629D}"/>
            </a:ext>
          </a:extLst>
        </xdr:cNvPr>
        <xdr:cNvSpPr txBox="1"/>
      </xdr:nvSpPr>
      <xdr:spPr>
        <a:xfrm rot="16200000">
          <a:off x="2613025" y="919451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300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444500</xdr:colOff>
      <xdr:row>10</xdr:row>
      <xdr:rowOff>158634</xdr:rowOff>
    </xdr:from>
    <xdr:to>
      <xdr:col>6</xdr:col>
      <xdr:colOff>117475</xdr:colOff>
      <xdr:row>13</xdr:row>
      <xdr:rowOff>193559</xdr:rowOff>
    </xdr:to>
    <xdr:sp macro="" textlink="">
      <xdr:nvSpPr>
        <xdr:cNvPr id="13395" name="textboxB">
          <a:extLst>
            <a:ext uri="{FF2B5EF4-FFF2-40B4-BE49-F238E27FC236}">
              <a16:creationId xmlns:a16="http://schemas.microsoft.com/office/drawing/2014/main" id="{F684641D-A3F3-4C7B-B8EA-6F50065EC164}"/>
            </a:ext>
          </a:extLst>
        </xdr:cNvPr>
        <xdr:cNvSpPr txBox="1"/>
      </xdr:nvSpPr>
      <xdr:spPr>
        <a:xfrm rot="16200000">
          <a:off x="2930525" y="2349384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1200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114300</xdr:colOff>
      <xdr:row>8</xdr:row>
      <xdr:rowOff>133176</xdr:rowOff>
    </xdr:from>
    <xdr:to>
      <xdr:col>5</xdr:col>
      <xdr:colOff>368300</xdr:colOff>
      <xdr:row>11</xdr:row>
      <xdr:rowOff>168101</xdr:rowOff>
    </xdr:to>
    <xdr:sp macro="" textlink="">
      <xdr:nvSpPr>
        <xdr:cNvPr id="13396" name="textboxl2">
          <a:extLst>
            <a:ext uri="{FF2B5EF4-FFF2-40B4-BE49-F238E27FC236}">
              <a16:creationId xmlns:a16="http://schemas.microsoft.com/office/drawing/2014/main" id="{E6851AAA-2CCD-4B2A-8B4A-B7ACFADDAC27}"/>
            </a:ext>
          </a:extLst>
        </xdr:cNvPr>
        <xdr:cNvSpPr txBox="1"/>
      </xdr:nvSpPr>
      <xdr:spPr>
        <a:xfrm rot="16200000">
          <a:off x="2600325" y="1923876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600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114300</xdr:colOff>
      <xdr:row>11</xdr:row>
      <xdr:rowOff>163945</xdr:rowOff>
    </xdr:from>
    <xdr:to>
      <xdr:col>5</xdr:col>
      <xdr:colOff>368300</xdr:colOff>
      <xdr:row>15</xdr:row>
      <xdr:rowOff>125845</xdr:rowOff>
    </xdr:to>
    <xdr:sp macro="" textlink="">
      <xdr:nvSpPr>
        <xdr:cNvPr id="13397" name="textboxex">
          <a:extLst>
            <a:ext uri="{FF2B5EF4-FFF2-40B4-BE49-F238E27FC236}">
              <a16:creationId xmlns:a16="http://schemas.microsoft.com/office/drawing/2014/main" id="{070E3259-B335-4A14-AB91-2BD696E9BAB3}"/>
            </a:ext>
          </a:extLst>
        </xdr:cNvPr>
        <xdr:cNvSpPr txBox="1"/>
      </xdr:nvSpPr>
      <xdr:spPr>
        <a:xfrm rot="16200000">
          <a:off x="2536825" y="2618220"/>
          <a:ext cx="76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ey=0</a:t>
          </a:r>
          <a:endParaRPr kumimoji="1" lang="ja-JP" altLang="en-US" sz="1100"/>
        </a:p>
      </xdr:txBody>
    </xdr:sp>
    <xdr:clientData/>
  </xdr:twoCellAnchor>
  <xdr:twoCellAnchor>
    <xdr:from>
      <xdr:col>2</xdr:col>
      <xdr:colOff>466552</xdr:colOff>
      <xdr:row>16</xdr:row>
      <xdr:rowOff>190500</xdr:rowOff>
    </xdr:from>
    <xdr:to>
      <xdr:col>3</xdr:col>
      <xdr:colOff>520527</xdr:colOff>
      <xdr:row>18</xdr:row>
      <xdr:rowOff>44450</xdr:rowOff>
    </xdr:to>
    <xdr:sp macro="" textlink="">
      <xdr:nvSpPr>
        <xdr:cNvPr id="13398" name="textboxl">
          <a:extLst>
            <a:ext uri="{FF2B5EF4-FFF2-40B4-BE49-F238E27FC236}">
              <a16:creationId xmlns:a16="http://schemas.microsoft.com/office/drawing/2014/main" id="{BD7B05FA-EC45-402E-BBC6-7AD239410939}"/>
            </a:ext>
          </a:extLst>
        </xdr:cNvPr>
        <xdr:cNvSpPr txBox="1"/>
      </xdr:nvSpPr>
      <xdr:spPr>
        <a:xfrm>
          <a:off x="1400002" y="33909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1800</a:t>
          </a:r>
          <a:endParaRPr kumimoji="1" lang="ja-JP" altLang="en-US" sz="1100"/>
        </a:p>
      </xdr:txBody>
    </xdr:sp>
    <xdr:clientData/>
  </xdr:twoCellAnchor>
  <xdr:twoCellAnchor>
    <xdr:from>
      <xdr:col>3</xdr:col>
      <xdr:colOff>417412</xdr:colOff>
      <xdr:row>16</xdr:row>
      <xdr:rowOff>0</xdr:rowOff>
    </xdr:from>
    <xdr:to>
      <xdr:col>4</xdr:col>
      <xdr:colOff>471387</xdr:colOff>
      <xdr:row>17</xdr:row>
      <xdr:rowOff>53975</xdr:rowOff>
    </xdr:to>
    <xdr:sp macro="" textlink="">
      <xdr:nvSpPr>
        <xdr:cNvPr id="13399" name="textboxl2">
          <a:extLst>
            <a:ext uri="{FF2B5EF4-FFF2-40B4-BE49-F238E27FC236}">
              <a16:creationId xmlns:a16="http://schemas.microsoft.com/office/drawing/2014/main" id="{772BB1F5-584B-4C1B-A58D-A8089A6B5A58}"/>
            </a:ext>
          </a:extLst>
        </xdr:cNvPr>
        <xdr:cNvSpPr txBox="1"/>
      </xdr:nvSpPr>
      <xdr:spPr>
        <a:xfrm>
          <a:off x="1931887" y="32004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900</a:t>
          </a:r>
          <a:endParaRPr kumimoji="1" lang="ja-JP" altLang="en-US" sz="1100"/>
        </a:p>
      </xdr:txBody>
    </xdr:sp>
    <xdr:clientData/>
  </xdr:twoCellAnchor>
  <xdr:twoCellAnchor>
    <xdr:from>
      <xdr:col>2</xdr:col>
      <xdr:colOff>44306</xdr:colOff>
      <xdr:row>16</xdr:row>
      <xdr:rowOff>0</xdr:rowOff>
    </xdr:from>
    <xdr:to>
      <xdr:col>3</xdr:col>
      <xdr:colOff>352281</xdr:colOff>
      <xdr:row>17</xdr:row>
      <xdr:rowOff>53975</xdr:rowOff>
    </xdr:to>
    <xdr:sp macro="" textlink="">
      <xdr:nvSpPr>
        <xdr:cNvPr id="13400" name="textboxex">
          <a:extLst>
            <a:ext uri="{FF2B5EF4-FFF2-40B4-BE49-F238E27FC236}">
              <a16:creationId xmlns:a16="http://schemas.microsoft.com/office/drawing/2014/main" id="{39FA44C4-EDC4-4081-BC65-99493B0F0D69}"/>
            </a:ext>
          </a:extLst>
        </xdr:cNvPr>
        <xdr:cNvSpPr txBox="1"/>
      </xdr:nvSpPr>
      <xdr:spPr>
        <a:xfrm>
          <a:off x="977756" y="3200400"/>
          <a:ext cx="889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ex=0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67B00-A2B4-4B60-B73D-D3BF4FB1560A}">
  <sheetPr codeName="Sheet1"/>
  <dimension ref="A1:T52"/>
  <sheetViews>
    <sheetView workbookViewId="0">
      <selection activeCell="E40" sqref="E40"/>
    </sheetView>
  </sheetViews>
  <sheetFormatPr defaultRowHeight="15.75" x14ac:dyDescent="0.4"/>
  <cols>
    <col min="1" max="1" width="4.625" style="6" customWidth="1"/>
    <col min="2" max="14" width="7.625" style="6" customWidth="1"/>
    <col min="15" max="16384" width="9" style="6"/>
  </cols>
  <sheetData>
    <row r="1" spans="1:20" x14ac:dyDescent="0.25">
      <c r="A1" s="7"/>
      <c r="B1" s="7"/>
      <c r="C1" s="7"/>
      <c r="D1" s="7"/>
      <c r="E1" s="7"/>
      <c r="F1" s="7"/>
      <c r="G1" s="8"/>
      <c r="H1" s="9"/>
      <c r="I1" s="9"/>
      <c r="J1" s="10"/>
      <c r="K1" s="10"/>
      <c r="L1" s="10"/>
      <c r="M1" s="11"/>
      <c r="N1" s="7"/>
    </row>
    <row r="2" spans="1:20" x14ac:dyDescent="0.25">
      <c r="A2" s="7"/>
      <c r="B2" s="9"/>
      <c r="C2" s="9"/>
      <c r="D2" s="9"/>
      <c r="E2" s="9"/>
      <c r="F2" s="9"/>
      <c r="G2" s="9"/>
      <c r="K2" s="7"/>
      <c r="L2" s="7"/>
      <c r="M2" s="12"/>
      <c r="N2" s="7"/>
    </row>
    <row r="3" spans="1:20" x14ac:dyDescent="0.25">
      <c r="A3" s="7"/>
      <c r="B3" s="9"/>
      <c r="C3" s="13"/>
      <c r="D3" s="13"/>
      <c r="E3" s="13"/>
      <c r="F3" s="14" t="s">
        <v>0</v>
      </c>
      <c r="G3" s="15"/>
      <c r="J3" s="16" t="s">
        <v>3</v>
      </c>
      <c r="K3" s="17">
        <v>1</v>
      </c>
      <c r="L3" s="7"/>
    </row>
    <row r="4" spans="1:20" x14ac:dyDescent="0.25">
      <c r="A4" s="9"/>
      <c r="B4" s="9"/>
      <c r="C4" s="13"/>
      <c r="D4" s="13"/>
      <c r="E4" s="13"/>
      <c r="F4" s="14"/>
      <c r="J4" s="16" t="s">
        <v>5</v>
      </c>
      <c r="K4" s="18" t="s">
        <v>46</v>
      </c>
    </row>
    <row r="5" spans="1:20" x14ac:dyDescent="0.25">
      <c r="A5" s="9"/>
      <c r="B5" s="9"/>
      <c r="C5" s="13"/>
      <c r="D5" s="13"/>
      <c r="E5" s="13"/>
      <c r="F5" s="13"/>
      <c r="J5" s="16" t="s">
        <v>6</v>
      </c>
      <c r="K5" s="17">
        <v>2</v>
      </c>
    </row>
    <row r="6" spans="1:20" x14ac:dyDescent="0.25">
      <c r="A6" s="9"/>
      <c r="B6" s="9"/>
      <c r="C6" s="13"/>
      <c r="D6" s="13"/>
      <c r="E6" s="13"/>
      <c r="F6" s="14"/>
    </row>
    <row r="7" spans="1:20" x14ac:dyDescent="0.25">
      <c r="A7" s="9"/>
      <c r="B7" s="9"/>
      <c r="C7" s="13"/>
      <c r="D7" s="13"/>
      <c r="E7" s="13"/>
      <c r="F7" s="13"/>
      <c r="J7" s="16" t="s">
        <v>9</v>
      </c>
      <c r="K7" s="32">
        <f>IF(K4="砂質土",ROUND(SQRT(20*K5)+15,0),0)</f>
        <v>0</v>
      </c>
    </row>
    <row r="8" spans="1:20" x14ac:dyDescent="0.25">
      <c r="A8" s="9"/>
      <c r="B8" s="9"/>
      <c r="C8" s="13"/>
      <c r="D8" s="13"/>
      <c r="E8" s="13"/>
      <c r="F8" s="13"/>
      <c r="J8" s="16" t="s">
        <v>11</v>
      </c>
      <c r="K8" s="39">
        <f>IF(K4="砂質土",0,6.25*K5)</f>
        <v>12.5</v>
      </c>
      <c r="N8" s="9"/>
    </row>
    <row r="9" spans="1:20" x14ac:dyDescent="0.25">
      <c r="A9" s="9"/>
      <c r="B9" s="9"/>
      <c r="C9" s="13"/>
      <c r="D9" s="13"/>
      <c r="E9" s="13"/>
      <c r="F9" s="13"/>
      <c r="L9" s="7"/>
      <c r="N9" s="13"/>
      <c r="R9" s="3"/>
    </row>
    <row r="10" spans="1:20" x14ac:dyDescent="0.25">
      <c r="A10" s="9"/>
      <c r="B10" s="9"/>
      <c r="C10" s="13"/>
      <c r="D10" s="13"/>
      <c r="E10" s="13"/>
      <c r="F10" s="13"/>
      <c r="J10" s="1" t="s">
        <v>45</v>
      </c>
      <c r="K10" s="2">
        <v>3150</v>
      </c>
      <c r="L10" s="3" t="s">
        <v>52</v>
      </c>
      <c r="N10" s="13"/>
      <c r="R10" s="3"/>
      <c r="S10" s="3"/>
      <c r="T10" s="12"/>
    </row>
    <row r="11" spans="1:20" x14ac:dyDescent="0.25">
      <c r="A11" s="9"/>
      <c r="B11" s="9"/>
      <c r="C11" s="13"/>
      <c r="D11" s="13"/>
      <c r="E11" s="13"/>
      <c r="F11" s="13"/>
      <c r="N11" s="3"/>
      <c r="R11" s="3"/>
      <c r="T11" s="2"/>
    </row>
    <row r="12" spans="1:20" x14ac:dyDescent="0.25">
      <c r="A12" s="9"/>
      <c r="B12" s="9"/>
      <c r="C12" s="13"/>
      <c r="D12" s="13"/>
      <c r="E12" s="13"/>
      <c r="F12" s="13"/>
      <c r="J12" s="16" t="s">
        <v>14</v>
      </c>
      <c r="K12" s="2"/>
      <c r="M12" s="2"/>
      <c r="N12" s="7"/>
      <c r="R12" s="3"/>
    </row>
    <row r="13" spans="1:20" x14ac:dyDescent="0.25">
      <c r="A13" s="9"/>
      <c r="B13" s="9"/>
      <c r="C13" s="13"/>
      <c r="D13" s="13"/>
      <c r="E13" s="13"/>
      <c r="F13" s="13"/>
      <c r="J13" s="16" t="s">
        <v>15</v>
      </c>
      <c r="K13" s="19">
        <f>Ncrq(K7,1)</f>
        <v>5.0999999999999996</v>
      </c>
      <c r="L13" s="3"/>
      <c r="M13" s="3"/>
      <c r="N13" s="7"/>
      <c r="R13" s="3"/>
    </row>
    <row r="14" spans="1:20" x14ac:dyDescent="0.25">
      <c r="A14" s="9"/>
      <c r="B14" s="9"/>
      <c r="C14" s="13"/>
      <c r="D14" s="13"/>
      <c r="E14" s="13"/>
      <c r="F14" s="13"/>
      <c r="J14" s="16" t="s">
        <v>16</v>
      </c>
      <c r="K14" s="19">
        <f>Ncrq(K7,2)</f>
        <v>0</v>
      </c>
      <c r="L14" s="3"/>
      <c r="R14" s="3"/>
      <c r="S14" s="3"/>
      <c r="T14" s="2"/>
    </row>
    <row r="15" spans="1:20" x14ac:dyDescent="0.25">
      <c r="A15" s="9"/>
      <c r="B15" s="9"/>
      <c r="C15" s="13"/>
      <c r="D15" s="13"/>
      <c r="E15" s="13"/>
      <c r="F15" s="13"/>
      <c r="J15" s="16" t="s">
        <v>17</v>
      </c>
      <c r="K15" s="19">
        <f>Ncrq(K7,3)</f>
        <v>1</v>
      </c>
      <c r="L15" s="3"/>
      <c r="Q15" s="13"/>
      <c r="R15" s="3"/>
      <c r="S15" s="7"/>
      <c r="T15" s="12"/>
    </row>
    <row r="16" spans="1:20" x14ac:dyDescent="0.25">
      <c r="A16" s="9"/>
      <c r="B16" s="9"/>
      <c r="C16" s="13"/>
      <c r="D16" s="13"/>
      <c r="E16" s="13"/>
      <c r="F16" s="13"/>
      <c r="K16" s="3"/>
      <c r="Q16" s="3"/>
      <c r="R16" s="3"/>
      <c r="S16" s="7"/>
      <c r="T16" s="12"/>
    </row>
    <row r="17" spans="1:20" x14ac:dyDescent="0.25">
      <c r="A17" s="9"/>
      <c r="B17" s="9"/>
      <c r="C17" s="13"/>
      <c r="D17" s="13"/>
      <c r="E17" s="13"/>
      <c r="F17" s="13"/>
      <c r="J17" s="16" t="s">
        <v>18</v>
      </c>
      <c r="R17" s="7"/>
      <c r="S17" s="12"/>
      <c r="T17" s="7"/>
    </row>
    <row r="18" spans="1:20" x14ac:dyDescent="0.25">
      <c r="A18" s="9"/>
      <c r="B18" s="9"/>
      <c r="C18" s="7"/>
      <c r="D18" s="13"/>
      <c r="E18" s="7"/>
      <c r="F18" s="7"/>
      <c r="J18" s="16" t="s">
        <v>53</v>
      </c>
      <c r="K18" s="36">
        <f>1+0.2*C22/C23</f>
        <v>1.1333333333333333</v>
      </c>
      <c r="N18" s="9"/>
    </row>
    <row r="19" spans="1:20" x14ac:dyDescent="0.25">
      <c r="A19" s="9"/>
      <c r="E19" s="13"/>
      <c r="F19" s="13"/>
      <c r="J19" s="16" t="s">
        <v>54</v>
      </c>
      <c r="K19" s="36">
        <f>0.5-0.2*C22/C23</f>
        <v>0.3666666666666667</v>
      </c>
      <c r="N19" s="9"/>
    </row>
    <row r="20" spans="1:20" x14ac:dyDescent="0.25">
      <c r="A20" s="9"/>
      <c r="B20" s="15"/>
      <c r="C20" s="4" t="str">
        <f>Glline(C22,C23,C21,C24,C25,C26,C27,C28)</f>
        <v>基礎寸法</v>
      </c>
      <c r="D20" s="16"/>
    </row>
    <row r="21" spans="1:20" x14ac:dyDescent="0.25">
      <c r="A21" s="9"/>
      <c r="B21" s="15" t="s">
        <v>1</v>
      </c>
      <c r="C21" s="37">
        <v>700</v>
      </c>
      <c r="D21" s="21" t="s">
        <v>2</v>
      </c>
      <c r="E21" s="4" t="s">
        <v>50</v>
      </c>
      <c r="F21" s="35">
        <v>16</v>
      </c>
      <c r="G21" s="5" t="s">
        <v>20</v>
      </c>
    </row>
    <row r="22" spans="1:20" x14ac:dyDescent="0.25">
      <c r="A22" s="9"/>
      <c r="B22" s="20" t="s">
        <v>4</v>
      </c>
      <c r="C22" s="37">
        <v>1200</v>
      </c>
      <c r="D22" s="21" t="s">
        <v>2</v>
      </c>
      <c r="E22" s="4" t="s">
        <v>51</v>
      </c>
      <c r="F22" s="35">
        <v>16</v>
      </c>
      <c r="G22" s="5" t="s">
        <v>20</v>
      </c>
      <c r="I22" s="3"/>
      <c r="J22" s="3"/>
      <c r="K22" s="3"/>
    </row>
    <row r="23" spans="1:20" x14ac:dyDescent="0.25">
      <c r="A23" s="7"/>
      <c r="B23" s="20" t="s">
        <v>47</v>
      </c>
      <c r="C23" s="37">
        <v>1800</v>
      </c>
      <c r="D23" s="21" t="s">
        <v>2</v>
      </c>
      <c r="I23" s="3"/>
      <c r="J23" s="3"/>
      <c r="L23" s="7"/>
      <c r="M23" s="12"/>
      <c r="N23" s="7"/>
    </row>
    <row r="24" spans="1:20" x14ac:dyDescent="0.25">
      <c r="A24" s="7"/>
      <c r="B24" s="15" t="s">
        <v>7</v>
      </c>
      <c r="C24" s="38">
        <v>300</v>
      </c>
      <c r="D24" s="21" t="s">
        <v>2</v>
      </c>
      <c r="E24" s="4" t="s">
        <v>19</v>
      </c>
      <c r="F24" s="34">
        <f>IF(K10&gt;=C22*2+C21,F22,F22-10)</f>
        <v>16</v>
      </c>
      <c r="G24" s="3" t="s">
        <v>21</v>
      </c>
      <c r="I24" s="3"/>
      <c r="J24" s="3"/>
      <c r="K24" s="3"/>
      <c r="L24" s="3"/>
      <c r="M24" s="2"/>
      <c r="N24" s="7"/>
    </row>
    <row r="25" spans="1:20" x14ac:dyDescent="0.25">
      <c r="A25" s="7"/>
      <c r="B25" s="15" t="s">
        <v>8</v>
      </c>
      <c r="C25" s="38">
        <v>750</v>
      </c>
      <c r="D25" s="21" t="s">
        <v>2</v>
      </c>
      <c r="E25" s="4" t="s">
        <v>22</v>
      </c>
      <c r="F25" s="34">
        <f>IF(K10&gt;=C21,F22,(F22*K10+(F22-10)*(C21-K10))/C21)</f>
        <v>16</v>
      </c>
      <c r="G25" s="3" t="s">
        <v>23</v>
      </c>
      <c r="L25" s="7"/>
      <c r="M25" s="12"/>
      <c r="N25" s="7"/>
    </row>
    <row r="26" spans="1:20" x14ac:dyDescent="0.25">
      <c r="A26" s="7"/>
      <c r="B26" s="15" t="s">
        <v>10</v>
      </c>
      <c r="C26" s="38">
        <v>750</v>
      </c>
      <c r="D26" s="21" t="s">
        <v>2</v>
      </c>
      <c r="N26" s="7"/>
    </row>
    <row r="27" spans="1:20" x14ac:dyDescent="0.25">
      <c r="A27" s="7"/>
      <c r="B27" s="15" t="s">
        <v>12</v>
      </c>
      <c r="C27" s="38">
        <v>0</v>
      </c>
      <c r="D27" s="21" t="s">
        <v>2</v>
      </c>
      <c r="N27" s="7"/>
    </row>
    <row r="28" spans="1:20" x14ac:dyDescent="0.25">
      <c r="A28" s="7"/>
      <c r="B28" s="15" t="s">
        <v>13</v>
      </c>
      <c r="C28" s="38">
        <v>0</v>
      </c>
      <c r="D28" s="21" t="s">
        <v>2</v>
      </c>
      <c r="N28" s="7"/>
    </row>
    <row r="29" spans="1:20" x14ac:dyDescent="0.25">
      <c r="A29" s="7"/>
      <c r="B29" s="7"/>
      <c r="J29" s="3"/>
      <c r="K29" s="3"/>
      <c r="N29" s="7"/>
    </row>
    <row r="30" spans="1:20" x14ac:dyDescent="0.25">
      <c r="A30" s="7"/>
      <c r="B30" s="7"/>
      <c r="L30" s="7"/>
      <c r="M30" s="2"/>
      <c r="N30" s="7"/>
    </row>
    <row r="31" spans="1:20" x14ac:dyDescent="0.25">
      <c r="A31" s="7"/>
      <c r="C31" s="7"/>
      <c r="E31" s="3" t="s">
        <v>24</v>
      </c>
      <c r="F31" s="7"/>
      <c r="G31" s="3"/>
      <c r="H31" s="3"/>
      <c r="I31" s="2"/>
      <c r="J31" s="2"/>
      <c r="K31" s="9"/>
      <c r="L31" s="7"/>
      <c r="M31" s="2"/>
      <c r="N31" s="7"/>
    </row>
    <row r="32" spans="1:20" x14ac:dyDescent="0.25">
      <c r="A32" s="7"/>
      <c r="C32" s="7"/>
      <c r="E32" s="22"/>
      <c r="F32" s="23" t="s">
        <v>25</v>
      </c>
      <c r="G32" s="23" t="s">
        <v>26</v>
      </c>
      <c r="H32" s="23" t="s">
        <v>27</v>
      </c>
      <c r="I32" s="24" t="s">
        <v>28</v>
      </c>
      <c r="J32" s="24" t="s">
        <v>29</v>
      </c>
      <c r="K32" s="24" t="s">
        <v>30</v>
      </c>
      <c r="L32" s="3"/>
      <c r="M32" s="7"/>
    </row>
    <row r="33" spans="1:14" x14ac:dyDescent="0.25">
      <c r="A33" s="7"/>
      <c r="C33" s="7"/>
      <c r="E33" s="25" t="s">
        <v>31</v>
      </c>
      <c r="F33" s="26">
        <v>1</v>
      </c>
      <c r="G33" s="26">
        <v>0</v>
      </c>
      <c r="H33" s="27">
        <f>G33/F33</f>
        <v>0</v>
      </c>
      <c r="I33" s="28">
        <f>DEGREES(ATAN(H33))</f>
        <v>0</v>
      </c>
      <c r="J33" s="29">
        <f>(1-(I33/90))^2</f>
        <v>1</v>
      </c>
      <c r="K33" s="29">
        <f>IF(K7=0,1,(1-(MIN(I33,K7)/K7))^2)</f>
        <v>1</v>
      </c>
      <c r="L33" s="30"/>
      <c r="M33" s="7"/>
    </row>
    <row r="34" spans="1:14" x14ac:dyDescent="0.25">
      <c r="A34" s="7"/>
      <c r="C34" s="7"/>
      <c r="E34" s="25" t="s">
        <v>32</v>
      </c>
      <c r="F34" s="26">
        <v>1</v>
      </c>
      <c r="G34" s="26">
        <v>0.16</v>
      </c>
      <c r="H34" s="27">
        <f>G34/F34</f>
        <v>0.16</v>
      </c>
      <c r="I34" s="28">
        <f>DEGREES(ATAN(H34))</f>
        <v>9.0902769208223226</v>
      </c>
      <c r="J34" s="29">
        <f>(1-(I34/90))^2</f>
        <v>0.80819546774681694</v>
      </c>
      <c r="K34" s="29">
        <f>IF(K7=0,1,(1-(MIN(I34,K7)/K7))^2)</f>
        <v>1</v>
      </c>
      <c r="L34" s="2"/>
      <c r="M34" s="7"/>
    </row>
    <row r="35" spans="1:14" x14ac:dyDescent="0.25">
      <c r="A35" s="7"/>
      <c r="N35" s="7"/>
    </row>
    <row r="36" spans="1:14" x14ac:dyDescent="0.25">
      <c r="A36" s="7"/>
      <c r="N36" s="7"/>
    </row>
    <row r="37" spans="1:14" x14ac:dyDescent="0.25">
      <c r="A37" s="7"/>
      <c r="C37" s="7" t="s">
        <v>33</v>
      </c>
      <c r="D37" s="7"/>
      <c r="E37" s="7"/>
      <c r="F37" s="7"/>
      <c r="G37" s="7"/>
      <c r="H37" s="7"/>
      <c r="I37" s="7"/>
      <c r="J37" s="7"/>
      <c r="K37" s="7"/>
      <c r="L37" s="7"/>
    </row>
    <row r="38" spans="1:14" x14ac:dyDescent="0.25">
      <c r="A38" s="7"/>
      <c r="C38" s="31" t="s">
        <v>34</v>
      </c>
      <c r="D38" s="5" t="s">
        <v>48</v>
      </c>
      <c r="E38" s="3"/>
      <c r="F38" s="3"/>
      <c r="G38" s="3"/>
      <c r="H38" s="3"/>
      <c r="I38" s="3"/>
      <c r="J38" s="3"/>
      <c r="K38" s="3"/>
    </row>
    <row r="39" spans="1:14" x14ac:dyDescent="0.25">
      <c r="A39" s="7"/>
      <c r="C39" s="31" t="s">
        <v>34</v>
      </c>
      <c r="D39" s="3" t="s">
        <v>35</v>
      </c>
      <c r="E39" s="32">
        <f>J33*K18*K8*K13</f>
        <v>72.249999999999986</v>
      </c>
      <c r="F39" s="2" t="s">
        <v>36</v>
      </c>
      <c r="G39" s="32">
        <f>K33*K19*F24*C22/1000*K14</f>
        <v>0</v>
      </c>
      <c r="H39" s="2" t="s">
        <v>36</v>
      </c>
      <c r="I39" s="32">
        <f>J33*F25*C21*K15/1000</f>
        <v>11.2</v>
      </c>
      <c r="J39" s="7" t="s">
        <v>37</v>
      </c>
      <c r="K39" s="33">
        <f>ROUND(1/3*(E39+G39+I39),1)</f>
        <v>27.8</v>
      </c>
      <c r="L39" s="30" t="s">
        <v>41</v>
      </c>
    </row>
    <row r="40" spans="1:14" x14ac:dyDescent="0.25">
      <c r="A40" s="7"/>
      <c r="M40" s="12"/>
      <c r="N40" s="7"/>
    </row>
    <row r="41" spans="1:14" x14ac:dyDescent="0.25">
      <c r="A41" s="7"/>
      <c r="C41" s="7" t="s">
        <v>38</v>
      </c>
      <c r="D41" s="7"/>
      <c r="E41" s="7"/>
      <c r="F41" s="7"/>
      <c r="G41" s="7"/>
      <c r="H41" s="7"/>
      <c r="I41" s="7"/>
      <c r="J41" s="7"/>
      <c r="K41" s="7"/>
      <c r="L41" s="7"/>
    </row>
    <row r="42" spans="1:14" x14ac:dyDescent="0.25">
      <c r="A42" s="7"/>
      <c r="C42" s="31" t="s">
        <v>39</v>
      </c>
      <c r="D42" s="5" t="s">
        <v>49</v>
      </c>
      <c r="E42" s="3"/>
      <c r="F42" s="3"/>
      <c r="G42" s="3"/>
      <c r="H42" s="3"/>
      <c r="I42" s="3"/>
      <c r="J42" s="3"/>
      <c r="K42" s="3"/>
      <c r="L42" s="3"/>
    </row>
    <row r="43" spans="1:14" x14ac:dyDescent="0.25">
      <c r="A43" s="7"/>
      <c r="C43" s="31" t="s">
        <v>39</v>
      </c>
      <c r="D43" s="3" t="s">
        <v>40</v>
      </c>
      <c r="E43" s="32">
        <f>J34*K18*K8*K13</f>
        <v>58.392122544707519</v>
      </c>
      <c r="F43" s="2" t="s">
        <v>36</v>
      </c>
      <c r="G43" s="32">
        <f>K34*K19*F24*C22/1000*K14</f>
        <v>0</v>
      </c>
      <c r="H43" s="2" t="s">
        <v>36</v>
      </c>
      <c r="I43" s="32">
        <f>J34*F25*C21/1000*K15</f>
        <v>9.0517892387643499</v>
      </c>
      <c r="J43" s="7" t="s">
        <v>37</v>
      </c>
      <c r="K43" s="33">
        <f>ROUND(2/3*(E43+G43+I43),1)</f>
        <v>45</v>
      </c>
      <c r="L43" s="30" t="s">
        <v>41</v>
      </c>
    </row>
    <row r="44" spans="1:14" x14ac:dyDescent="0.25">
      <c r="A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12"/>
      <c r="N44" s="7"/>
    </row>
    <row r="45" spans="1:14" x14ac:dyDescent="0.25">
      <c r="A45" s="7"/>
      <c r="C45" s="3" t="s">
        <v>42</v>
      </c>
      <c r="M45" s="12"/>
      <c r="N45" s="7"/>
    </row>
    <row r="46" spans="1:14" x14ac:dyDescent="0.25">
      <c r="A46" s="7"/>
      <c r="E46" s="18">
        <v>50</v>
      </c>
      <c r="F46" s="5" t="s">
        <v>43</v>
      </c>
      <c r="G46" s="5"/>
      <c r="H46" s="7"/>
      <c r="I46" s="18">
        <v>100</v>
      </c>
      <c r="J46" s="5" t="s">
        <v>44</v>
      </c>
      <c r="K46" s="5"/>
      <c r="M46" s="30"/>
      <c r="N46" s="7"/>
    </row>
    <row r="47" spans="1:14" x14ac:dyDescent="0.25">
      <c r="A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12"/>
      <c r="N47" s="7"/>
    </row>
    <row r="48" spans="1:14" x14ac:dyDescent="0.25">
      <c r="A48" s="7"/>
      <c r="B48" s="7"/>
      <c r="D48" s="7"/>
      <c r="E48" s="7"/>
      <c r="F48" s="7"/>
      <c r="G48" s="7"/>
      <c r="H48" s="7"/>
      <c r="I48" s="7"/>
      <c r="J48" s="7"/>
      <c r="K48" s="7"/>
      <c r="L48" s="3"/>
      <c r="M48" s="12"/>
      <c r="N48" s="7"/>
    </row>
    <row r="49" spans="1:14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12"/>
      <c r="N49" s="7"/>
    </row>
    <row r="50" spans="1:14" x14ac:dyDescent="0.25">
      <c r="A50" s="7"/>
      <c r="B50" s="7"/>
      <c r="C50" s="7"/>
      <c r="D50" s="7"/>
      <c r="L50" s="3"/>
      <c r="M50" s="12"/>
      <c r="N50" s="7"/>
    </row>
    <row r="51" spans="1:14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12"/>
      <c r="N51" s="7"/>
    </row>
    <row r="52" spans="1:14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12"/>
      <c r="N52" s="7"/>
    </row>
  </sheetData>
  <phoneticPr fontId="2"/>
  <dataValidations count="1">
    <dataValidation type="list" allowBlank="1" showInputMessage="1" showErrorMessage="1" sqref="K4" xr:uid="{83F4DAC3-36F4-44BA-80EB-F5F02030D081}">
      <formula1>"砂質土,粘性土"</formula1>
    </dataValidation>
  </dataValidations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C2222-6C35-4C00-A6DB-0B41E6A13830}">
  <sheetPr codeName="Sheet2"/>
  <dimension ref="A1:I8"/>
  <sheetViews>
    <sheetView workbookViewId="0">
      <selection activeCell="B4" sqref="B4"/>
    </sheetView>
  </sheetViews>
  <sheetFormatPr defaultRowHeight="18.75" x14ac:dyDescent="0.4"/>
  <cols>
    <col min="5" max="5" width="9.375" bestFit="1" customWidth="1"/>
  </cols>
  <sheetData>
    <row r="1" spans="1:9" x14ac:dyDescent="0.4">
      <c r="A1">
        <v>2</v>
      </c>
      <c r="B1">
        <v>3.4000000953674316</v>
      </c>
      <c r="C1">
        <v>2.8</v>
      </c>
    </row>
    <row r="2" spans="1:9" x14ac:dyDescent="0.4">
      <c r="A2" t="s">
        <v>76</v>
      </c>
      <c r="B2">
        <v>2.8</v>
      </c>
    </row>
    <row r="3" spans="1:9" x14ac:dyDescent="0.25">
      <c r="A3" t="s">
        <v>66</v>
      </c>
      <c r="B3" s="16">
        <f>COUNT(B4:B100)</f>
        <v>4</v>
      </c>
      <c r="C3" s="40" t="s">
        <v>60</v>
      </c>
      <c r="E3" s="40" t="s">
        <v>61</v>
      </c>
    </row>
    <row r="4" spans="1:9" x14ac:dyDescent="0.25">
      <c r="B4" s="16">
        <v>1</v>
      </c>
      <c r="C4" s="40" t="s">
        <v>62</v>
      </c>
      <c r="D4">
        <v>16</v>
      </c>
      <c r="E4" s="40">
        <v>0.6</v>
      </c>
      <c r="F4">
        <f>E4</f>
        <v>0.6</v>
      </c>
      <c r="G4">
        <v>0.60000002384185791</v>
      </c>
      <c r="H4">
        <v>0.60000002384185791</v>
      </c>
      <c r="I4">
        <v>0</v>
      </c>
    </row>
    <row r="5" spans="1:9" x14ac:dyDescent="0.25">
      <c r="B5" s="16">
        <v>2</v>
      </c>
      <c r="C5" s="40" t="s">
        <v>63</v>
      </c>
      <c r="D5">
        <v>18</v>
      </c>
      <c r="E5" s="40">
        <v>2.8</v>
      </c>
      <c r="F5">
        <f>IF(E5="","",E5+F4)</f>
        <v>3.4</v>
      </c>
      <c r="G5">
        <v>2.7999999523162842</v>
      </c>
      <c r="H5">
        <v>2.2000000476837158</v>
      </c>
      <c r="I5">
        <v>0</v>
      </c>
    </row>
    <row r="6" spans="1:9" x14ac:dyDescent="0.25">
      <c r="B6" s="16">
        <v>3</v>
      </c>
      <c r="C6" s="40" t="s">
        <v>63</v>
      </c>
      <c r="D6">
        <v>18</v>
      </c>
      <c r="E6" s="40">
        <v>8.8000000000000007</v>
      </c>
      <c r="F6">
        <f t="shared" ref="F6:F7" si="0">IF(E6="","",E6+F5)</f>
        <v>12.200000000000001</v>
      </c>
      <c r="G6">
        <v>3.4000000953674316</v>
      </c>
      <c r="H6">
        <v>0.60000008344650269</v>
      </c>
      <c r="I6">
        <v>0</v>
      </c>
    </row>
    <row r="7" spans="1:9" x14ac:dyDescent="0.25">
      <c r="B7" s="16">
        <v>4</v>
      </c>
      <c r="C7" s="40" t="s">
        <v>64</v>
      </c>
      <c r="D7">
        <v>16</v>
      </c>
      <c r="E7" s="40">
        <v>2</v>
      </c>
      <c r="F7">
        <f t="shared" si="0"/>
        <v>14.200000000000001</v>
      </c>
      <c r="G7">
        <v>12.199999809265137</v>
      </c>
      <c r="H7">
        <v>8.7999992370605469</v>
      </c>
      <c r="I7">
        <v>0</v>
      </c>
    </row>
    <row r="8" spans="1:9" x14ac:dyDescent="0.4">
      <c r="G8">
        <v>14.199999809265137</v>
      </c>
      <c r="H8">
        <v>2</v>
      </c>
      <c r="I8">
        <v>0</v>
      </c>
    </row>
  </sheetData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2D0-6A22-4546-9F14-6F3CBA647797}">
  <sheetPr codeName="Sheet3"/>
  <dimension ref="A1:T45"/>
  <sheetViews>
    <sheetView workbookViewId="0">
      <selection activeCell="G19" sqref="G19"/>
    </sheetView>
  </sheetViews>
  <sheetFormatPr defaultRowHeight="15.75" x14ac:dyDescent="0.4"/>
  <cols>
    <col min="1" max="1" width="4.625" style="6" customWidth="1"/>
    <col min="2" max="14" width="7.625" style="6" customWidth="1"/>
    <col min="15" max="16384" width="9" style="6"/>
  </cols>
  <sheetData>
    <row r="1" spans="1:20" x14ac:dyDescent="0.25">
      <c r="A1" s="7"/>
      <c r="B1" s="7"/>
      <c r="C1" s="7"/>
      <c r="D1" s="7"/>
      <c r="E1" s="7"/>
      <c r="F1" s="7"/>
      <c r="G1" s="8"/>
      <c r="H1" s="9"/>
      <c r="I1" s="9"/>
      <c r="J1" s="10"/>
      <c r="K1" s="10"/>
      <c r="L1" s="10"/>
      <c r="M1" s="11"/>
      <c r="N1" s="7"/>
    </row>
    <row r="2" spans="1:20" x14ac:dyDescent="0.25">
      <c r="A2" s="7"/>
      <c r="B2" s="9"/>
      <c r="C2" s="9"/>
      <c r="D2" s="9"/>
      <c r="E2" s="9"/>
      <c r="F2" s="9"/>
      <c r="G2" s="9"/>
      <c r="K2" s="7"/>
      <c r="L2" s="7"/>
      <c r="M2" s="12"/>
      <c r="N2" s="7"/>
    </row>
    <row r="3" spans="1:20" x14ac:dyDescent="0.25">
      <c r="A3" s="7"/>
      <c r="B3" s="9"/>
      <c r="C3" s="13"/>
      <c r="D3" s="13"/>
      <c r="E3" s="13"/>
      <c r="F3" s="14" t="s">
        <v>0</v>
      </c>
      <c r="G3" s="15"/>
      <c r="J3" s="16" t="s">
        <v>3</v>
      </c>
      <c r="K3" s="17">
        <v>1</v>
      </c>
      <c r="L3" s="7"/>
    </row>
    <row r="4" spans="1:20" x14ac:dyDescent="0.25">
      <c r="A4" s="9"/>
      <c r="B4" s="9"/>
      <c r="C4" s="13"/>
      <c r="D4" s="13"/>
      <c r="E4" s="13"/>
      <c r="F4" s="14"/>
      <c r="J4" s="16" t="s">
        <v>55</v>
      </c>
      <c r="K4" s="6">
        <v>11500</v>
      </c>
    </row>
    <row r="5" spans="1:20" x14ac:dyDescent="0.25">
      <c r="A5" s="9"/>
      <c r="B5" s="9"/>
      <c r="C5" s="13"/>
      <c r="D5" s="13"/>
      <c r="E5" s="13"/>
      <c r="F5" s="13"/>
      <c r="J5" s="16" t="s">
        <v>56</v>
      </c>
      <c r="K5" s="18" t="s">
        <v>57</v>
      </c>
    </row>
    <row r="6" spans="1:20" x14ac:dyDescent="0.25">
      <c r="A6" s="9"/>
      <c r="B6" s="9"/>
      <c r="C6" s="13"/>
      <c r="D6" s="13"/>
      <c r="E6" s="13"/>
      <c r="F6" s="14"/>
      <c r="J6" s="16" t="s">
        <v>6</v>
      </c>
      <c r="K6" s="17">
        <v>1</v>
      </c>
    </row>
    <row r="7" spans="1:20" x14ac:dyDescent="0.25">
      <c r="A7" s="9"/>
      <c r="B7" s="9"/>
      <c r="C7" s="13"/>
      <c r="D7" s="13"/>
      <c r="E7" s="13"/>
      <c r="F7" s="13"/>
      <c r="J7" s="16" t="s">
        <v>9</v>
      </c>
      <c r="K7" s="32">
        <f>IF(K5="砂質土",ROUND(SQRT(20*K6)+15,0),0)</f>
        <v>19</v>
      </c>
    </row>
    <row r="8" spans="1:20" x14ac:dyDescent="0.25">
      <c r="A8" s="9"/>
      <c r="B8" s="9"/>
      <c r="C8" s="13"/>
      <c r="D8" s="13"/>
      <c r="E8" s="13"/>
      <c r="F8" s="13"/>
      <c r="J8" s="16" t="s">
        <v>11</v>
      </c>
      <c r="K8" s="39">
        <f>IF(K5="砂質土",0,6.25*K6)</f>
        <v>0</v>
      </c>
      <c r="N8" s="9"/>
    </row>
    <row r="9" spans="1:20" x14ac:dyDescent="0.25">
      <c r="A9" s="9"/>
      <c r="B9" s="9"/>
      <c r="C9" s="13"/>
      <c r="D9" s="13"/>
      <c r="E9" s="13"/>
      <c r="F9" s="13"/>
      <c r="L9" s="7"/>
      <c r="N9" s="13"/>
      <c r="R9" s="3"/>
    </row>
    <row r="10" spans="1:20" x14ac:dyDescent="0.25">
      <c r="A10" s="9"/>
      <c r="B10" s="9"/>
      <c r="C10" s="13"/>
      <c r="D10" s="13"/>
      <c r="E10" s="13"/>
      <c r="F10" s="13"/>
      <c r="J10" s="1" t="s">
        <v>45</v>
      </c>
      <c r="K10" s="2">
        <v>11500</v>
      </c>
      <c r="L10" s="3" t="s">
        <v>52</v>
      </c>
      <c r="N10" s="13"/>
      <c r="R10" s="3"/>
      <c r="S10" s="3"/>
      <c r="T10" s="12"/>
    </row>
    <row r="11" spans="1:20" x14ac:dyDescent="0.25">
      <c r="A11" s="9"/>
      <c r="B11" s="9"/>
      <c r="C11" s="13"/>
      <c r="D11" s="13"/>
      <c r="E11" s="13"/>
      <c r="F11" s="13"/>
      <c r="N11" s="3"/>
      <c r="R11" s="3"/>
      <c r="T11" s="2"/>
    </row>
    <row r="12" spans="1:20" x14ac:dyDescent="0.25">
      <c r="A12" s="9"/>
      <c r="B12" s="9"/>
      <c r="C12" s="13"/>
      <c r="D12" s="13"/>
      <c r="E12" s="13"/>
      <c r="F12" s="13"/>
      <c r="J12" s="16" t="s">
        <v>14</v>
      </c>
      <c r="K12" s="2"/>
      <c r="M12" s="2"/>
      <c r="N12" s="7"/>
      <c r="R12" s="3"/>
    </row>
    <row r="13" spans="1:20" x14ac:dyDescent="0.25">
      <c r="A13" s="9"/>
      <c r="B13" s="9"/>
      <c r="C13" s="13"/>
      <c r="D13" s="13"/>
      <c r="E13" s="13"/>
      <c r="F13" s="13"/>
      <c r="J13" s="16" t="s">
        <v>15</v>
      </c>
      <c r="K13" s="19">
        <f>Ncrq(K7,1)</f>
        <v>13.933559371766499</v>
      </c>
      <c r="L13" s="3"/>
      <c r="M13" s="3"/>
      <c r="N13" s="7"/>
      <c r="R13" s="3"/>
    </row>
    <row r="14" spans="1:20" x14ac:dyDescent="0.25">
      <c r="A14" s="9"/>
      <c r="B14" s="9"/>
      <c r="C14" s="13"/>
      <c r="D14" s="13"/>
      <c r="E14" s="13"/>
      <c r="F14" s="13"/>
      <c r="J14" s="16" t="s">
        <v>16</v>
      </c>
      <c r="K14" s="19">
        <f>Ncrq(K7,2)</f>
        <v>2.4025137318992198</v>
      </c>
      <c r="L14" s="3"/>
      <c r="R14" s="3"/>
      <c r="S14" s="3"/>
      <c r="T14" s="2"/>
    </row>
    <row r="15" spans="1:20" x14ac:dyDescent="0.25">
      <c r="A15" s="9"/>
      <c r="B15" s="9"/>
      <c r="C15" s="13"/>
      <c r="D15" s="13"/>
      <c r="E15" s="13"/>
      <c r="F15" s="13"/>
      <c r="J15" s="16" t="s">
        <v>17</v>
      </c>
      <c r="K15" s="19">
        <f>Ncrq(K7,3)</f>
        <v>5.7977091549474595</v>
      </c>
      <c r="L15" s="3"/>
      <c r="Q15" s="13"/>
      <c r="R15" s="3"/>
      <c r="S15" s="7"/>
      <c r="T15" s="12"/>
    </row>
    <row r="16" spans="1:20" x14ac:dyDescent="0.25">
      <c r="A16" s="9"/>
      <c r="B16" s="9"/>
      <c r="C16" s="13"/>
      <c r="D16" s="13"/>
      <c r="E16" s="13"/>
      <c r="F16" s="13"/>
      <c r="J16" s="16" t="s">
        <v>18</v>
      </c>
      <c r="Q16" s="3"/>
      <c r="R16" s="3"/>
      <c r="S16" s="7"/>
      <c r="T16" s="12"/>
    </row>
    <row r="17" spans="1:20" x14ac:dyDescent="0.25">
      <c r="A17" s="9"/>
      <c r="B17" s="9"/>
      <c r="C17" s="13"/>
      <c r="D17" s="13"/>
      <c r="E17" s="13"/>
      <c r="F17" s="13"/>
      <c r="J17" s="16" t="s">
        <v>53</v>
      </c>
      <c r="K17" s="36">
        <f>1+0.2*F22/F23</f>
        <v>1.1000000000000001</v>
      </c>
      <c r="R17" s="7"/>
      <c r="S17" s="12"/>
      <c r="T17" s="7"/>
    </row>
    <row r="18" spans="1:20" x14ac:dyDescent="0.25">
      <c r="A18" s="9"/>
      <c r="B18" s="9"/>
      <c r="C18" s="7"/>
      <c r="D18" s="13"/>
      <c r="E18" s="7"/>
      <c r="F18" s="7"/>
      <c r="J18" s="16" t="s">
        <v>54</v>
      </c>
      <c r="K18" s="36">
        <f>0.5-0.2*F22/F23</f>
        <v>0.4</v>
      </c>
      <c r="N18" s="9"/>
    </row>
    <row r="19" spans="1:20" x14ac:dyDescent="0.25">
      <c r="A19" s="9"/>
      <c r="G19" s="13" t="s">
        <v>66</v>
      </c>
      <c r="H19" s="13">
        <f>COUNT(G21:G24)</f>
        <v>4</v>
      </c>
      <c r="N19" s="9"/>
    </row>
    <row r="20" spans="1:20" x14ac:dyDescent="0.25">
      <c r="D20" s="9"/>
      <c r="E20" s="15" t="s">
        <v>70</v>
      </c>
      <c r="F20" s="4">
        <f>nisoujiban(F22,F23,F21,K4,K10)</f>
        <v>11500</v>
      </c>
      <c r="G20" s="16"/>
      <c r="H20" s="40" t="s">
        <v>60</v>
      </c>
      <c r="I20" s="40" t="s">
        <v>61</v>
      </c>
      <c r="K20" s="40" t="s">
        <v>65</v>
      </c>
    </row>
    <row r="21" spans="1:20" x14ac:dyDescent="0.25">
      <c r="D21" s="9"/>
      <c r="E21" s="15" t="s">
        <v>1</v>
      </c>
      <c r="F21" s="37">
        <v>9500</v>
      </c>
      <c r="G21" s="16">
        <v>1</v>
      </c>
      <c r="H21" s="40" t="str">
        <f>input!C4</f>
        <v>埋め土</v>
      </c>
      <c r="I21" s="40">
        <v>0.6</v>
      </c>
      <c r="J21" s="6">
        <f>I21</f>
        <v>0.6</v>
      </c>
      <c r="K21" s="40">
        <v>16</v>
      </c>
    </row>
    <row r="22" spans="1:20" x14ac:dyDescent="0.25">
      <c r="D22" s="9"/>
      <c r="E22" s="20" t="s">
        <v>4</v>
      </c>
      <c r="F22" s="37">
        <v>1000</v>
      </c>
      <c r="G22" s="16">
        <v>2</v>
      </c>
      <c r="H22" s="40" t="s">
        <v>63</v>
      </c>
      <c r="I22" s="40">
        <v>2.8</v>
      </c>
      <c r="J22" s="6">
        <f>I22+J21</f>
        <v>3.4</v>
      </c>
      <c r="K22" s="40">
        <v>18</v>
      </c>
    </row>
    <row r="23" spans="1:20" x14ac:dyDescent="0.25">
      <c r="D23" s="7"/>
      <c r="E23" s="20" t="s">
        <v>47</v>
      </c>
      <c r="F23" s="37">
        <v>2000</v>
      </c>
      <c r="G23" s="16">
        <v>3</v>
      </c>
      <c r="H23" s="40" t="s">
        <v>63</v>
      </c>
      <c r="I23" s="40">
        <v>8.8000000000000007</v>
      </c>
      <c r="J23" s="6">
        <f t="shared" ref="J23:J24" si="0">I23+J22</f>
        <v>12.200000000000001</v>
      </c>
      <c r="K23" s="40">
        <v>18</v>
      </c>
      <c r="O23" s="7"/>
      <c r="P23" s="12"/>
      <c r="Q23" s="7"/>
    </row>
    <row r="24" spans="1:20" x14ac:dyDescent="0.25">
      <c r="D24" s="7"/>
      <c r="E24" s="15" t="s">
        <v>68</v>
      </c>
      <c r="F24" s="38">
        <f>F22+F20-F21</f>
        <v>3000</v>
      </c>
      <c r="G24" s="16">
        <v>4</v>
      </c>
      <c r="H24" s="40" t="s">
        <v>64</v>
      </c>
      <c r="I24" s="40">
        <v>2</v>
      </c>
      <c r="J24" s="6">
        <f t="shared" si="0"/>
        <v>14.200000000000001</v>
      </c>
      <c r="K24" s="40">
        <v>16</v>
      </c>
      <c r="O24" s="3"/>
      <c r="P24" s="2"/>
      <c r="Q24" s="7"/>
    </row>
    <row r="25" spans="1:20" x14ac:dyDescent="0.25">
      <c r="D25" s="7"/>
      <c r="E25" s="15" t="s">
        <v>69</v>
      </c>
      <c r="F25" s="38">
        <f>F23+F20-F21</f>
        <v>4000</v>
      </c>
      <c r="G25" s="21"/>
      <c r="O25" s="7"/>
      <c r="P25" s="12"/>
      <c r="Q25" s="7"/>
    </row>
    <row r="26" spans="1:20" x14ac:dyDescent="0.25">
      <c r="D26" s="7"/>
      <c r="E26" s="15" t="s">
        <v>71</v>
      </c>
      <c r="F26" s="41">
        <f>F22*F23/(F24*F25)</f>
        <v>0.16666666666666666</v>
      </c>
      <c r="G26" s="21"/>
      <c r="S26" s="3"/>
    </row>
    <row r="27" spans="1:20" x14ac:dyDescent="0.25">
      <c r="A27" s="7"/>
      <c r="B27" s="15"/>
      <c r="C27" s="38"/>
      <c r="D27" s="21"/>
    </row>
    <row r="28" spans="1:20" x14ac:dyDescent="0.25">
      <c r="A28" s="7"/>
      <c r="B28" s="15"/>
      <c r="C28" s="38"/>
      <c r="D28" s="21"/>
      <c r="E28" s="43" t="s">
        <v>72</v>
      </c>
      <c r="F28" s="6">
        <v>150</v>
      </c>
      <c r="J28" s="4" t="s">
        <v>50</v>
      </c>
      <c r="K28" s="35">
        <v>16</v>
      </c>
      <c r="L28" s="5" t="s">
        <v>20</v>
      </c>
      <c r="N28" s="7"/>
    </row>
    <row r="29" spans="1:20" x14ac:dyDescent="0.25">
      <c r="A29" s="7"/>
      <c r="B29" s="7"/>
      <c r="E29" s="43" t="s">
        <v>73</v>
      </c>
      <c r="F29" s="44">
        <f>I30</f>
        <v>6</v>
      </c>
      <c r="J29" s="4" t="s">
        <v>51</v>
      </c>
      <c r="K29" s="35">
        <v>16</v>
      </c>
      <c r="L29" s="5" t="s">
        <v>20</v>
      </c>
      <c r="N29" s="7"/>
    </row>
    <row r="30" spans="1:20" x14ac:dyDescent="0.25">
      <c r="A30" s="7"/>
      <c r="B30" s="7"/>
      <c r="E30" s="43" t="s">
        <v>74</v>
      </c>
      <c r="F30" s="6">
        <f>F29*F21/1000</f>
        <v>57</v>
      </c>
      <c r="H30" s="4" t="s">
        <v>22</v>
      </c>
      <c r="I30" s="34">
        <v>6</v>
      </c>
      <c r="J30" s="3" t="s">
        <v>59</v>
      </c>
      <c r="N30" s="7"/>
    </row>
    <row r="31" spans="1:20" x14ac:dyDescent="0.25">
      <c r="A31" s="7"/>
      <c r="E31" s="43" t="s">
        <v>75</v>
      </c>
      <c r="F31" s="6">
        <f>F26*(F28-F30)</f>
        <v>15.5</v>
      </c>
      <c r="H31" s="4" t="s">
        <v>19</v>
      </c>
      <c r="I31" s="34">
        <v>8</v>
      </c>
      <c r="J31" s="3" t="s">
        <v>59</v>
      </c>
      <c r="K31" s="3"/>
    </row>
    <row r="32" spans="1:20" x14ac:dyDescent="0.25">
      <c r="A32" s="7"/>
    </row>
    <row r="33" spans="1:14" x14ac:dyDescent="0.25">
      <c r="A33" s="7"/>
    </row>
    <row r="34" spans="1:14" x14ac:dyDescent="0.25">
      <c r="A34" s="7"/>
      <c r="M34" s="12"/>
      <c r="N34" s="7"/>
    </row>
    <row r="35" spans="1:14" x14ac:dyDescent="0.25">
      <c r="A35" s="7"/>
      <c r="C35" s="7" t="s">
        <v>33</v>
      </c>
      <c r="D35" s="7"/>
      <c r="E35" s="7"/>
      <c r="F35" s="7"/>
      <c r="G35" s="7"/>
      <c r="H35" s="7"/>
      <c r="I35" s="7"/>
      <c r="J35" s="7"/>
      <c r="K35" s="7"/>
      <c r="L35" s="7"/>
    </row>
    <row r="36" spans="1:14" x14ac:dyDescent="0.25">
      <c r="A36" s="7"/>
      <c r="C36" s="31" t="s">
        <v>34</v>
      </c>
      <c r="D36" s="5" t="s">
        <v>58</v>
      </c>
      <c r="E36" s="3"/>
      <c r="F36" s="3"/>
      <c r="G36" s="3"/>
      <c r="H36" s="3"/>
      <c r="I36" s="3"/>
      <c r="J36" s="3"/>
      <c r="K36" s="3"/>
    </row>
    <row r="37" spans="1:14" x14ac:dyDescent="0.25">
      <c r="A37" s="7"/>
      <c r="C37" s="31" t="s">
        <v>34</v>
      </c>
      <c r="D37" s="3" t="s">
        <v>35</v>
      </c>
      <c r="E37" s="32">
        <f>K17*K8*K13</f>
        <v>0</v>
      </c>
      <c r="F37" s="2" t="s">
        <v>36</v>
      </c>
      <c r="G37" s="32">
        <f>K18*I30*F22/1000*K14</f>
        <v>5.7660329565581288</v>
      </c>
      <c r="H37" s="2" t="s">
        <v>36</v>
      </c>
      <c r="I37" s="45">
        <f>K29*K4/1000*K15</f>
        <v>1066.7784845103326</v>
      </c>
      <c r="J37" s="7" t="s">
        <v>37</v>
      </c>
      <c r="K37" s="33">
        <f>ROUND(1/3*(E37+G37+I37),1)</f>
        <v>357.5</v>
      </c>
      <c r="L37" s="30" t="s">
        <v>41</v>
      </c>
      <c r="M37" s="12"/>
      <c r="N37" s="7"/>
    </row>
    <row r="38" spans="1:14" x14ac:dyDescent="0.25">
      <c r="A38" s="7"/>
      <c r="M38" s="12"/>
      <c r="N38" s="7"/>
    </row>
    <row r="39" spans="1:14" x14ac:dyDescent="0.25">
      <c r="A39" s="7"/>
      <c r="C39" s="7" t="s">
        <v>38</v>
      </c>
      <c r="D39" s="7"/>
      <c r="E39" s="7"/>
      <c r="F39" s="7"/>
      <c r="G39" s="7"/>
      <c r="H39" s="7"/>
      <c r="I39" s="7"/>
      <c r="J39" s="7"/>
      <c r="K39" s="7"/>
      <c r="L39" s="7"/>
      <c r="M39" s="30"/>
      <c r="N39" s="7"/>
    </row>
    <row r="40" spans="1:14" x14ac:dyDescent="0.25">
      <c r="A40" s="7"/>
      <c r="C40" s="31"/>
      <c r="D40" s="3"/>
      <c r="E40" s="32"/>
      <c r="F40" s="2"/>
      <c r="G40" s="32"/>
      <c r="H40" s="2"/>
      <c r="J40" s="42" t="s">
        <v>67</v>
      </c>
      <c r="K40" s="33">
        <f>K37*2</f>
        <v>715</v>
      </c>
      <c r="L40" s="30" t="s">
        <v>41</v>
      </c>
      <c r="M40" s="12"/>
      <c r="N40" s="7"/>
    </row>
    <row r="41" spans="1:1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12"/>
      <c r="N41" s="7"/>
    </row>
    <row r="42" spans="1:14" x14ac:dyDescent="0.25">
      <c r="A42" s="7"/>
      <c r="B42" s="7"/>
      <c r="C42" s="3" t="s">
        <v>42</v>
      </c>
      <c r="M42" s="12"/>
      <c r="N42" s="7"/>
    </row>
    <row r="43" spans="1:14" x14ac:dyDescent="0.25">
      <c r="A43" s="7"/>
      <c r="B43" s="7"/>
      <c r="E43" s="18">
        <v>50</v>
      </c>
      <c r="F43" s="5" t="s">
        <v>43</v>
      </c>
      <c r="G43" s="5"/>
      <c r="H43" s="7"/>
      <c r="I43" s="18">
        <v>100</v>
      </c>
      <c r="J43" s="5" t="s">
        <v>44</v>
      </c>
      <c r="K43" s="5"/>
      <c r="M43" s="12"/>
      <c r="N43" s="7"/>
    </row>
    <row r="44" spans="1:14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12"/>
      <c r="N44" s="7"/>
    </row>
    <row r="45" spans="1:1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12"/>
      <c r="N45" s="7"/>
    </row>
  </sheetData>
  <phoneticPr fontId="2"/>
  <dataValidations disablePrompts="1" count="1">
    <dataValidation type="list" allowBlank="1" showInputMessage="1" showErrorMessage="1" sqref="K5" xr:uid="{AF262B2C-0759-4CAE-B909-979CF5408404}">
      <formula1>"砂質土,粘性土"</formula1>
    </dataValidation>
  </dataValidations>
  <pageMargins left="0.25" right="0.25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9B7A3-44F1-439C-B964-7E09029D2BF8}">
  <sheetPr codeName="Sheet4"/>
  <dimension ref="A1"/>
  <sheetViews>
    <sheetView tabSelected="1" workbookViewId="0"/>
  </sheetViews>
  <sheetFormatPr defaultRowHeight="18.75" x14ac:dyDescent="0.4"/>
  <sheetData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input</vt:lpstr>
      <vt:lpstr>Sheet1 (2)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2020-11-01T05:24:06Z</cp:lastPrinted>
  <dcterms:created xsi:type="dcterms:W3CDTF">2020-07-08T04:03:42Z</dcterms:created>
  <dcterms:modified xsi:type="dcterms:W3CDTF">2020-11-06T09:05:09Z</dcterms:modified>
</cp:coreProperties>
</file>