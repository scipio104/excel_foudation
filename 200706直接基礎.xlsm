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foudation\"/>
    </mc:Choice>
  </mc:AlternateContent>
  <xr:revisionPtr revIDLastSave="0" documentId="13_ncr:1_{59CBEB99-2B00-4E69-84E2-980E39BA951E}" xr6:coauthVersionLast="45" xr6:coauthVersionMax="45" xr10:uidLastSave="{00000000-0000-0000-0000-000000000000}"/>
  <bookViews>
    <workbookView xWindow="-120" yWindow="-120" windowWidth="20730" windowHeight="11160" firstSheet="1" activeTab="2" xr2:uid="{FE712974-A990-474E-9082-08B877A1FB98}"/>
  </bookViews>
  <sheets>
    <sheet name="Sheet1" sheetId="1" r:id="rId1"/>
    <sheet name="Sheet1 (2)" sheetId="3" r:id="rId2"/>
    <sheet name="Sheet2" sheetId="4" r:id="rId3"/>
  </sheets>
  <functionGroups builtInGroupCount="19"/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4" l="1"/>
  <c r="F6" i="4" s="1"/>
  <c r="F7" i="4" s="1"/>
  <c r="F4" i="4"/>
  <c r="B3" i="4"/>
  <c r="J23" i="3" l="1"/>
  <c r="J24" i="3"/>
  <c r="J22" i="3"/>
  <c r="J21" i="3"/>
  <c r="F30" i="3"/>
  <c r="F29" i="3"/>
  <c r="H19" i="3"/>
  <c r="F20" i="3"/>
  <c r="F24" i="3" l="1"/>
  <c r="F25" i="3"/>
  <c r="K17" i="3"/>
  <c r="C20" i="1"/>
  <c r="F26" i="3" l="1"/>
  <c r="F31" i="3" s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3" i="3"/>
  <c r="K14" i="3"/>
  <c r="K15" i="1"/>
  <c r="K14" i="1"/>
  <c r="K15" i="3"/>
  <c r="K13" i="1"/>
  <c r="I37" i="3" l="1"/>
  <c r="G37" i="3"/>
  <c r="E37" i="3"/>
  <c r="E39" i="1"/>
  <c r="I43" i="1"/>
  <c r="E43" i="1"/>
  <c r="I39" i="1"/>
  <c r="K34" i="1"/>
  <c r="G43" i="1" s="1"/>
  <c r="K33" i="1"/>
  <c r="G39" i="1" s="1"/>
  <c r="K37" i="3" l="1"/>
  <c r="K40" i="3" s="1"/>
  <c r="K43" i="1"/>
  <c r="K39" i="1"/>
</calcChain>
</file>

<file path=xl/sharedStrings.xml><?xml version="1.0" encoding="utf-8"?>
<sst xmlns="http://schemas.openxmlformats.org/spreadsheetml/2006/main" count="137" uniqueCount="77">
  <si>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</si>
  <si>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</si>
  <si>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</si>
  <si>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</si>
  <si>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</si>
  <si>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</si>
  <si>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</si>
  <si>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</si>
  <si>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</si>
  <si>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</si>
  <si>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</si>
  <si>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</si>
  <si>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</si>
  <si>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</si>
  <si>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</si>
  <si>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</si>
  <si>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</si>
  <si>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</si>
  <si>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</si>
  <si>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</si>
  <si>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</si>
  <si>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</si>
  <si>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</si>
  <si>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</si>
  <si>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</si>
  <si>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</si>
  <si>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</si>
  <si>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</si>
  <si>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</si>
  <si>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</si>
  <si>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</si>
  <si>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</si>
  <si>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</si>
  <si>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</si>
  <si>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</si>
  <si>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</si>
  <si>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</si>
  <si>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</si>
  <si>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</si>
  <si>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</si>
  <si>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</si>
  <si>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</si>
  <si>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</si>
  <si>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</si>
  <si>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</si>
  <si>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</si>
  <si>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</si>
  <si>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</si>
  <si>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</si>
  <si>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</si>
  <si>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</si>
  <si>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</si>
  <si>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</si>
  <si>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</si>
  <si>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</si>
  <si>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</si>
  <si>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</si>
  <si>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</si>
  <si>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</si>
  <si>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</si>
  <si>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</si>
  <si>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</si>
  <si>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</si>
  <si>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</si>
  <si>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</si>
  <si>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</si>
  <si>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</si>
  <si>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</si>
  <si>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B+H-df=</t>
    <phoneticPr fontId="2"/>
  </si>
  <si>
    <t>L+H-df=</t>
    <phoneticPr fontId="2"/>
  </si>
  <si>
    <t>H=</t>
    <phoneticPr fontId="2"/>
  </si>
  <si>
    <t>B*L/{(B+H-Df)*(L+H-Df)}=</t>
    <phoneticPr fontId="2"/>
  </si>
  <si>
    <t>p=</t>
    <phoneticPr fontId="2"/>
  </si>
  <si>
    <t>γ=</t>
    <phoneticPr fontId="2"/>
  </si>
  <si>
    <t>γ＊Df=</t>
    <phoneticPr fontId="2"/>
  </si>
  <si>
    <t>p'=</t>
    <phoneticPr fontId="2"/>
  </si>
  <si>
    <t>WL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</si>
</sst>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>
      <alignment vertical="center"/>
    </xf>
    <xf numFmtId="181" fontId="6" fillId="0" borderId="0" xfId="1" applyNumberFormat="1" applyFont="1" applyFill="1" applyAlignment="1">
      <alignment horizont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196" name="line01">
          <a:extLst>
            <a:ext uri="{FF2B5EF4-FFF2-40B4-BE49-F238E27FC236}">
              <a16:creationId xmlns:a16="http://schemas.microsoft.com/office/drawing/2014/main" id="{773E7F24-7AE5-4AB0-B78D-26A77D22A4A6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197" name="textbox01">
          <a:extLst>
            <a:ext uri="{FF2B5EF4-FFF2-40B4-BE49-F238E27FC236}">
              <a16:creationId xmlns:a16="http://schemas.microsoft.com/office/drawing/2014/main" id="{607D5B2C-8923-4D62-A1A1-3B55D2D0109F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198" name="line01">
          <a:extLst>
            <a:ext uri="{FF2B5EF4-FFF2-40B4-BE49-F238E27FC236}">
              <a16:creationId xmlns:a16="http://schemas.microsoft.com/office/drawing/2014/main" id="{C8376582-B8BE-4DAF-84E1-DF07E3661995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13199" name="line01">
          <a:extLst>
            <a:ext uri="{FF2B5EF4-FFF2-40B4-BE49-F238E27FC236}">
              <a16:creationId xmlns:a16="http://schemas.microsoft.com/office/drawing/2014/main" id="{AF72AF58-875E-40AF-AE47-F4C2FF194E1E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200" name="line01">
          <a:extLst>
            <a:ext uri="{FF2B5EF4-FFF2-40B4-BE49-F238E27FC236}">
              <a16:creationId xmlns:a16="http://schemas.microsoft.com/office/drawing/2014/main" id="{B446D0E6-9A27-4EDE-8134-3C672B01900B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13201" name="line01">
          <a:extLst>
            <a:ext uri="{FF2B5EF4-FFF2-40B4-BE49-F238E27FC236}">
              <a16:creationId xmlns:a16="http://schemas.microsoft.com/office/drawing/2014/main" id="{DE56DD21-66BF-48E3-9C18-3CBF6104902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13202" name="line02">
          <a:extLst>
            <a:ext uri="{FF2B5EF4-FFF2-40B4-BE49-F238E27FC236}">
              <a16:creationId xmlns:a16="http://schemas.microsoft.com/office/drawing/2014/main" id="{C93CCFC0-30F7-40CD-9FB5-821E9781E262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13203" name="line02">
          <a:extLst>
            <a:ext uri="{FF2B5EF4-FFF2-40B4-BE49-F238E27FC236}">
              <a16:creationId xmlns:a16="http://schemas.microsoft.com/office/drawing/2014/main" id="{54969D71-504D-4E3C-8E08-32DEA09CBA82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13204" name="line02">
          <a:extLst>
            <a:ext uri="{FF2B5EF4-FFF2-40B4-BE49-F238E27FC236}">
              <a16:creationId xmlns:a16="http://schemas.microsoft.com/office/drawing/2014/main" id="{5647EA54-F6E3-4363-A5B5-5AD02F168B6D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13205" name="line02">
          <a:extLst>
            <a:ext uri="{FF2B5EF4-FFF2-40B4-BE49-F238E27FC236}">
              <a16:creationId xmlns:a16="http://schemas.microsoft.com/office/drawing/2014/main" id="{09946A5F-5D0B-452D-8A29-1C102E0000EE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13206" name="line02">
          <a:extLst>
            <a:ext uri="{FF2B5EF4-FFF2-40B4-BE49-F238E27FC236}">
              <a16:creationId xmlns:a16="http://schemas.microsoft.com/office/drawing/2014/main" id="{A46920CE-F455-4710-8DE8-DED9FCB84DD5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13207" name="line02">
          <a:extLst>
            <a:ext uri="{FF2B5EF4-FFF2-40B4-BE49-F238E27FC236}">
              <a16:creationId xmlns:a16="http://schemas.microsoft.com/office/drawing/2014/main" id="{51A02BFE-A9DD-4D64-96DC-577F8FC30D07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13208" name="line02">
          <a:extLst>
            <a:ext uri="{FF2B5EF4-FFF2-40B4-BE49-F238E27FC236}">
              <a16:creationId xmlns:a16="http://schemas.microsoft.com/office/drawing/2014/main" id="{A46E0F14-25E7-4495-9D5E-10C669451D94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13209" name="line02">
          <a:extLst>
            <a:ext uri="{FF2B5EF4-FFF2-40B4-BE49-F238E27FC236}">
              <a16:creationId xmlns:a16="http://schemas.microsoft.com/office/drawing/2014/main" id="{B8F2E93C-320A-45A8-ABA9-BB563A9BED46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13210" name="line02">
          <a:extLst>
            <a:ext uri="{FF2B5EF4-FFF2-40B4-BE49-F238E27FC236}">
              <a16:creationId xmlns:a16="http://schemas.microsoft.com/office/drawing/2014/main" id="{A45A682B-7B79-4839-8911-07BA2F4451FF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13211" name="line02">
          <a:extLst>
            <a:ext uri="{FF2B5EF4-FFF2-40B4-BE49-F238E27FC236}">
              <a16:creationId xmlns:a16="http://schemas.microsoft.com/office/drawing/2014/main" id="{50BA4598-E05F-48D4-9309-B4A46BD5E5B9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13212" name="line02">
          <a:extLst>
            <a:ext uri="{FF2B5EF4-FFF2-40B4-BE49-F238E27FC236}">
              <a16:creationId xmlns:a16="http://schemas.microsoft.com/office/drawing/2014/main" id="{A0E5DA3C-AF9C-48B1-9D89-8FAE9C23E598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13213" name="line02">
          <a:extLst>
            <a:ext uri="{FF2B5EF4-FFF2-40B4-BE49-F238E27FC236}">
              <a16:creationId xmlns:a16="http://schemas.microsoft.com/office/drawing/2014/main" id="{65A79EFD-8903-478F-96EE-D1064EC48210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13214" name="line02">
          <a:extLst>
            <a:ext uri="{FF2B5EF4-FFF2-40B4-BE49-F238E27FC236}">
              <a16:creationId xmlns:a16="http://schemas.microsoft.com/office/drawing/2014/main" id="{175BB943-7260-440C-97CC-F853FBDC36DA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13215" name="line02">
          <a:extLst>
            <a:ext uri="{FF2B5EF4-FFF2-40B4-BE49-F238E27FC236}">
              <a16:creationId xmlns:a16="http://schemas.microsoft.com/office/drawing/2014/main" id="{8B990FF1-00B6-4A80-BEDB-DD831C8E7343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13216" name="line02">
          <a:extLst>
            <a:ext uri="{FF2B5EF4-FFF2-40B4-BE49-F238E27FC236}">
              <a16:creationId xmlns:a16="http://schemas.microsoft.com/office/drawing/2014/main" id="{D52080CB-B642-4E0C-918C-694FBD14F778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13217" name="line02">
          <a:extLst>
            <a:ext uri="{FF2B5EF4-FFF2-40B4-BE49-F238E27FC236}">
              <a16:creationId xmlns:a16="http://schemas.microsoft.com/office/drawing/2014/main" id="{F925374A-77E3-492C-B2DF-62912206178C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3218" name="line02">
          <a:extLst>
            <a:ext uri="{FF2B5EF4-FFF2-40B4-BE49-F238E27FC236}">
              <a16:creationId xmlns:a16="http://schemas.microsoft.com/office/drawing/2014/main" id="{4CD38D91-C9B6-4F5C-B619-AD4FC7643C03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3219" name="line02">
          <a:extLst>
            <a:ext uri="{FF2B5EF4-FFF2-40B4-BE49-F238E27FC236}">
              <a16:creationId xmlns:a16="http://schemas.microsoft.com/office/drawing/2014/main" id="{489391C2-FA54-44E4-A5CF-2FF11D0569CF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3220" name="line02">
          <a:extLst>
            <a:ext uri="{FF2B5EF4-FFF2-40B4-BE49-F238E27FC236}">
              <a16:creationId xmlns:a16="http://schemas.microsoft.com/office/drawing/2014/main" id="{7A68433C-A478-4E06-AC03-46E98547DF9D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3221" name="line02">
          <a:extLst>
            <a:ext uri="{FF2B5EF4-FFF2-40B4-BE49-F238E27FC236}">
              <a16:creationId xmlns:a16="http://schemas.microsoft.com/office/drawing/2014/main" id="{6786D015-D93F-4A33-B0EC-11C5B440E461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3222" name="line02">
          <a:extLst>
            <a:ext uri="{FF2B5EF4-FFF2-40B4-BE49-F238E27FC236}">
              <a16:creationId xmlns:a16="http://schemas.microsoft.com/office/drawing/2014/main" id="{3EBF68EF-CEC2-450A-B63D-878093C9F47B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3223" name="line02">
          <a:extLst>
            <a:ext uri="{FF2B5EF4-FFF2-40B4-BE49-F238E27FC236}">
              <a16:creationId xmlns:a16="http://schemas.microsoft.com/office/drawing/2014/main" id="{BDBF6560-EB31-4FE4-ABA7-A841D8285EEC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3224" name="line02">
          <a:extLst>
            <a:ext uri="{FF2B5EF4-FFF2-40B4-BE49-F238E27FC236}">
              <a16:creationId xmlns:a16="http://schemas.microsoft.com/office/drawing/2014/main" id="{28419490-B1BC-4950-A402-22B7665F5DD7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3225" name="line02">
          <a:extLst>
            <a:ext uri="{FF2B5EF4-FFF2-40B4-BE49-F238E27FC236}">
              <a16:creationId xmlns:a16="http://schemas.microsoft.com/office/drawing/2014/main" id="{6837B9F6-FA20-4012-94A2-C98D90E3FC88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3226" name="line02">
          <a:extLst>
            <a:ext uri="{FF2B5EF4-FFF2-40B4-BE49-F238E27FC236}">
              <a16:creationId xmlns:a16="http://schemas.microsoft.com/office/drawing/2014/main" id="{4273D2C7-5861-40E8-BB63-5F7EFA71ACF4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3227" name="line02">
          <a:extLst>
            <a:ext uri="{FF2B5EF4-FFF2-40B4-BE49-F238E27FC236}">
              <a16:creationId xmlns:a16="http://schemas.microsoft.com/office/drawing/2014/main" id="{ED4EB5FE-EF86-4233-854E-4061D089AC14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3228" name="textboxDf">
          <a:extLst>
            <a:ext uri="{FF2B5EF4-FFF2-40B4-BE49-F238E27FC236}">
              <a16:creationId xmlns:a16="http://schemas.microsoft.com/office/drawing/2014/main" id="{B848115B-A6FC-4265-8ADF-B8717B61F47A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3229" name="textboxD">
          <a:extLst>
            <a:ext uri="{FF2B5EF4-FFF2-40B4-BE49-F238E27FC236}">
              <a16:creationId xmlns:a16="http://schemas.microsoft.com/office/drawing/2014/main" id="{BE435C67-E42C-444B-BB22-5C9E07CB7BA7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3230" name="textboxB">
          <a:extLst>
            <a:ext uri="{FF2B5EF4-FFF2-40B4-BE49-F238E27FC236}">
              <a16:creationId xmlns:a16="http://schemas.microsoft.com/office/drawing/2014/main" id="{F1FFCCA6-C278-4B44-9162-2E5F9EDE6F03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3231" name="textboxl2">
          <a:extLst>
            <a:ext uri="{FF2B5EF4-FFF2-40B4-BE49-F238E27FC236}">
              <a16:creationId xmlns:a16="http://schemas.microsoft.com/office/drawing/2014/main" id="{1816CF72-9784-4E5F-BE3B-F669D1DA8EC6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3232" name="textboxex">
          <a:extLst>
            <a:ext uri="{FF2B5EF4-FFF2-40B4-BE49-F238E27FC236}">
              <a16:creationId xmlns:a16="http://schemas.microsoft.com/office/drawing/2014/main" id="{D6D364F9-0EF5-4439-B29B-C26F83F29590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3233" name="textboxl">
          <a:extLst>
            <a:ext uri="{FF2B5EF4-FFF2-40B4-BE49-F238E27FC236}">
              <a16:creationId xmlns:a16="http://schemas.microsoft.com/office/drawing/2014/main" id="{A604ABB9-7898-47C6-B42E-4EDD70A6CA9B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3234" name="textboxl2">
          <a:extLst>
            <a:ext uri="{FF2B5EF4-FFF2-40B4-BE49-F238E27FC236}">
              <a16:creationId xmlns:a16="http://schemas.microsoft.com/office/drawing/2014/main" id="{EB1B8F69-C55E-4C81-B57C-6451FA322C60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3235" name="textboxex">
          <a:extLst>
            <a:ext uri="{FF2B5EF4-FFF2-40B4-BE49-F238E27FC236}">
              <a16:creationId xmlns:a16="http://schemas.microsoft.com/office/drawing/2014/main" id="{87A43F49-9EB2-4622-A1D3-6DC2AE475051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topLeftCell="A7"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topLeftCell="A16" workbookViewId="0">
      <selection activeCell="H28" sqref="H28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2.4025137318992194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5.7977091549474586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1+0.2*F22/F23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0.5-0.2*F22/F23</f>
        <v>0.4</v>
      </c>
      <c r="N18" s="9"/>
    </row>
    <row r="19" spans="1:20" x14ac:dyDescent="0.25">
      <c r="A19" s="9"/>
      <c r="G19" s="13" t="s">
        <v>66</v>
      </c>
      <c r="H19" s="13">
        <f>COUNT(G21:G24)</f>
        <v>4</v>
      </c>
      <c r="N19" s="9"/>
    </row>
    <row r="20" spans="1:20" x14ac:dyDescent="0.25">
      <c r="D20" s="9"/>
      <c r="E20" s="15" t="s">
        <v>70</v>
      </c>
      <c r="F20" s="4">
        <f>nisoujiban(F22,F23,F21,K4,K10)</f>
        <v>11500</v>
      </c>
      <c r="G20" s="16"/>
      <c r="H20" s="40" t="s">
        <v>60</v>
      </c>
      <c r="I20" s="40" t="s">
        <v>61</v>
      </c>
      <c r="K20" s="40" t="s">
        <v>65</v>
      </c>
    </row>
    <row r="21" spans="1:20" x14ac:dyDescent="0.25">
      <c r="D21" s="9"/>
      <c r="E21" s="15" t="s">
        <v>1</v>
      </c>
      <c r="F21" s="37">
        <v>9500</v>
      </c>
      <c r="G21" s="16">
        <v>1</v>
      </c>
      <c r="H21" s="40" t="s">
        <v>62</v>
      </c>
      <c r="I21" s="40">
        <v>0.6</v>
      </c>
      <c r="J21" s="6">
        <f>I21</f>
        <v>0.6</v>
      </c>
      <c r="K21" s="40">
        <v>16</v>
      </c>
    </row>
    <row r="22" spans="1:20" x14ac:dyDescent="0.25">
      <c r="D22" s="9"/>
      <c r="E22" s="20" t="s">
        <v>4</v>
      </c>
      <c r="F22" s="37">
        <v>1000</v>
      </c>
      <c r="G22" s="16">
        <v>2</v>
      </c>
      <c r="H22" s="40" t="s">
        <v>63</v>
      </c>
      <c r="I22" s="40">
        <v>2.8</v>
      </c>
      <c r="J22" s="6">
        <f>I22+J21</f>
        <v>3.4</v>
      </c>
      <c r="K22" s="40">
        <v>18</v>
      </c>
    </row>
    <row r="23" spans="1:20" x14ac:dyDescent="0.25">
      <c r="D23" s="7"/>
      <c r="E23" s="20" t="s">
        <v>47</v>
      </c>
      <c r="F23" s="37">
        <v>2000</v>
      </c>
      <c r="G23" s="16">
        <v>3</v>
      </c>
      <c r="H23" s="40" t="s">
        <v>63</v>
      </c>
      <c r="I23" s="40">
        <v>8.8000000000000007</v>
      </c>
      <c r="J23" s="6">
        <f t="shared" ref="J23:J24" si="0">I23+J22</f>
        <v>12.200000000000001</v>
      </c>
      <c r="K23" s="40">
        <v>18</v>
      </c>
      <c r="O23" s="7"/>
      <c r="P23" s="12"/>
      <c r="Q23" s="7"/>
    </row>
    <row r="24" spans="1:20" x14ac:dyDescent="0.25">
      <c r="D24" s="7"/>
      <c r="E24" s="15" t="s">
        <v>68</v>
      </c>
      <c r="F24" s="38">
        <f>F22+F20-F21</f>
        <v>3000</v>
      </c>
      <c r="G24" s="16">
        <v>4</v>
      </c>
      <c r="H24" s="40" t="s">
        <v>64</v>
      </c>
      <c r="I24" s="40">
        <v>2</v>
      </c>
      <c r="J24" s="6">
        <f t="shared" si="0"/>
        <v>14.200000000000001</v>
      </c>
      <c r="K24" s="40">
        <v>16</v>
      </c>
      <c r="O24" s="3"/>
      <c r="P24" s="2"/>
      <c r="Q24" s="7"/>
    </row>
    <row r="25" spans="1:20" x14ac:dyDescent="0.25">
      <c r="D25" s="7"/>
      <c r="E25" s="15" t="s">
        <v>69</v>
      </c>
      <c r="F25" s="38">
        <f>F23+F20-F21</f>
        <v>4000</v>
      </c>
      <c r="G25" s="21"/>
      <c r="O25" s="7"/>
      <c r="P25" s="12"/>
      <c r="Q25" s="7"/>
    </row>
    <row r="26" spans="1:20" x14ac:dyDescent="0.25">
      <c r="D26" s="7"/>
      <c r="E26" s="15" t="s">
        <v>71</v>
      </c>
      <c r="F26" s="41">
        <f>F22*F23/(F24*F25)</f>
        <v>0.16666666666666666</v>
      </c>
      <c r="G26" s="21"/>
      <c r="S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3" t="s">
        <v>72</v>
      </c>
      <c r="F28" s="6">
        <v>150</v>
      </c>
      <c r="J28" s="4" t="s">
        <v>50</v>
      </c>
      <c r="K28" s="35">
        <v>16</v>
      </c>
      <c r="L28" s="5" t="s">
        <v>20</v>
      </c>
      <c r="N28" s="7"/>
    </row>
    <row r="29" spans="1:20" x14ac:dyDescent="0.25">
      <c r="A29" s="7"/>
      <c r="B29" s="7"/>
      <c r="E29" s="43" t="s">
        <v>73</v>
      </c>
      <c r="F29" s="44">
        <f>I30</f>
        <v>6</v>
      </c>
      <c r="J29" s="4" t="s">
        <v>51</v>
      </c>
      <c r="K29" s="35">
        <v>16</v>
      </c>
      <c r="L29" s="5" t="s">
        <v>20</v>
      </c>
      <c r="N29" s="7"/>
    </row>
    <row r="30" spans="1:20" x14ac:dyDescent="0.25">
      <c r="A30" s="7"/>
      <c r="B30" s="7"/>
      <c r="E30" s="43" t="s">
        <v>74</v>
      </c>
      <c r="F30" s="6">
        <f>F29*F21/1000</f>
        <v>57</v>
      </c>
      <c r="H30" s="4" t="s">
        <v>22</v>
      </c>
      <c r="I30" s="34">
        <v>6</v>
      </c>
      <c r="J30" s="3" t="s">
        <v>59</v>
      </c>
      <c r="N30" s="7"/>
    </row>
    <row r="31" spans="1:20" x14ac:dyDescent="0.25">
      <c r="A31" s="7"/>
      <c r="E31" s="43" t="s">
        <v>75</v>
      </c>
      <c r="F31" s="6">
        <f>F26*(F28-F30)</f>
        <v>15.5</v>
      </c>
      <c r="H31" s="4" t="s">
        <v>19</v>
      </c>
      <c r="I31" s="34">
        <v>8</v>
      </c>
      <c r="J31" s="3" t="s">
        <v>59</v>
      </c>
      <c r="K31" s="3"/>
    </row>
    <row r="32" spans="1:20" x14ac:dyDescent="0.25">
      <c r="A32" s="7"/>
    </row>
    <row r="33" spans="1:14" x14ac:dyDescent="0.25">
      <c r="A33" s="7"/>
    </row>
    <row r="34" spans="1:14" x14ac:dyDescent="0.25">
      <c r="A34" s="7"/>
      <c r="M34" s="12"/>
      <c r="N34" s="7"/>
    </row>
    <row r="35" spans="1:14" x14ac:dyDescent="0.25">
      <c r="A35" s="7"/>
      <c r="C35" s="7" t="s">
        <v>33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58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K18*I30*F22/1000*K14</f>
        <v>5.766032956558127</v>
      </c>
      <c r="H37" s="2" t="s">
        <v>36</v>
      </c>
      <c r="I37" s="45">
        <f>K29*K4/1000*K15</f>
        <v>1066.7784845103324</v>
      </c>
      <c r="J37" s="7" t="s">
        <v>37</v>
      </c>
      <c r="K37" s="33">
        <f>ROUND(1/3*(E37+G37+I37),1)</f>
        <v>357.5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38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67</v>
      </c>
      <c r="K40" s="33">
        <f>K37*2</f>
        <v>715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3" t="s">
        <v>42</v>
      </c>
      <c r="M42" s="12"/>
      <c r="N42" s="7"/>
    </row>
    <row r="43" spans="1:14" x14ac:dyDescent="0.25">
      <c r="A43" s="7"/>
      <c r="B43" s="7"/>
      <c r="E43" s="18">
        <v>50</v>
      </c>
      <c r="F43" s="5" t="s">
        <v>43</v>
      </c>
      <c r="G43" s="5"/>
      <c r="H43" s="7"/>
      <c r="I43" s="18">
        <v>100</v>
      </c>
      <c r="J43" s="5" t="s">
        <v>44</v>
      </c>
      <c r="K43" s="5"/>
      <c r="M43" s="12"/>
      <c r="N43" s="7"/>
    </row>
    <row r="44" spans="1:1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2222-6C35-4C00-A6DB-0B41E6A13830}">
  <sheetPr codeName="Sheet2"/>
  <dimension ref="A1:H8"/>
  <sheetViews>
    <sheetView tabSelected="1" workbookViewId="0">
      <selection activeCell="D6" sqref="D6"/>
    </sheetView>
  </sheetViews>
  <sheetFormatPr defaultRowHeight="18.75" x14ac:dyDescent="0.4"/>
  <cols>
    <col min="5" max="5" width="9.375" bestFit="1" customWidth="1"/>
  </cols>
  <sheetData>
    <row r="1" spans="1:8" x14ac:dyDescent="0.4">
      <c r="A1">
        <v>3</v>
      </c>
      <c r="B1">
        <v>12.199999809265137</v>
      </c>
      <c r="C1">
        <v>12.2</v>
      </c>
      <c r="D1">
        <v>1</v>
      </c>
    </row>
    <row r="2" spans="1:8" x14ac:dyDescent="0.4">
      <c r="A2" t="s">
        <v>76</v>
      </c>
      <c r="B2">
        <v>12.2</v>
      </c>
    </row>
    <row r="3" spans="1:8" x14ac:dyDescent="0.25">
      <c r="A3" t="s">
        <v>66</v>
      </c>
      <c r="B3" s="16">
        <f>COUNT(B4:B100)</f>
        <v>4</v>
      </c>
      <c r="C3" s="40" t="s">
        <v>60</v>
      </c>
      <c r="E3" s="40" t="s">
        <v>61</v>
      </c>
    </row>
    <row r="4" spans="1:8" x14ac:dyDescent="0.25">
      <c r="B4" s="16">
        <v>1</v>
      </c>
      <c r="C4" s="40" t="s">
        <v>62</v>
      </c>
      <c r="D4">
        <v>16</v>
      </c>
      <c r="E4" s="40">
        <v>0.6</v>
      </c>
      <c r="F4">
        <f>E4</f>
        <v>0.6</v>
      </c>
      <c r="G4">
        <v>0.60000002384185791</v>
      </c>
      <c r="H4">
        <v>0</v>
      </c>
    </row>
    <row r="5" spans="1:8" x14ac:dyDescent="0.25">
      <c r="B5" s="16">
        <v>2</v>
      </c>
      <c r="C5" s="40" t="s">
        <v>63</v>
      </c>
      <c r="D5">
        <v>18</v>
      </c>
      <c r="E5" s="40">
        <v>2.8</v>
      </c>
      <c r="F5">
        <f>IF(E5="","",E5+F4)</f>
        <v>3.4</v>
      </c>
      <c r="G5">
        <v>3.4000000953674316</v>
      </c>
      <c r="H5">
        <v>3.4000000953674316</v>
      </c>
    </row>
    <row r="6" spans="1:8" x14ac:dyDescent="0.25">
      <c r="B6" s="16">
        <v>3</v>
      </c>
      <c r="C6" s="40" t="s">
        <v>63</v>
      </c>
      <c r="D6">
        <v>18</v>
      </c>
      <c r="E6" s="40">
        <v>8.8000000000000007</v>
      </c>
      <c r="F6">
        <f t="shared" ref="F6:F7" si="0">IF(E6="","",E6+F5)</f>
        <v>12.200000000000001</v>
      </c>
      <c r="G6">
        <v>12.199999809265137</v>
      </c>
      <c r="H6">
        <v>12.199999809265137</v>
      </c>
    </row>
    <row r="7" spans="1:8" x14ac:dyDescent="0.25">
      <c r="B7" s="16">
        <v>4</v>
      </c>
      <c r="C7" s="40" t="s">
        <v>64</v>
      </c>
      <c r="D7">
        <v>16</v>
      </c>
      <c r="E7" s="40">
        <v>2</v>
      </c>
      <c r="F7">
        <f t="shared" si="0"/>
        <v>14.200000000000001</v>
      </c>
      <c r="G7">
        <v>14.199999809265137</v>
      </c>
      <c r="H7">
        <v>0</v>
      </c>
    </row>
    <row r="8" spans="1:8" x14ac:dyDescent="0.4">
      <c r="G8">
        <v>0</v>
      </c>
      <c r="H8">
        <v>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Makoto Matsushita</cp:lastModifiedBy>
  <cp:lastPrinted>2020-11-01T05:24:06Z</cp:lastPrinted>
  <dcterms:created xsi:type="dcterms:W3CDTF">2020-07-08T04:03:42Z</dcterms:created>
  <dcterms:modified xsi:type="dcterms:W3CDTF">2020-11-05T14:53:54Z</dcterms:modified>
</cp:coreProperties>
</file>