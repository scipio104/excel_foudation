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0025134\github\excel_foudation\"/>
    </mc:Choice>
  </mc:AlternateContent>
  <xr:revisionPtr revIDLastSave="0" documentId="8_{FF92DA5D-C8CE-47C6-ADF5-A5B43F0FA58F}" xr6:coauthVersionLast="31" xr6:coauthVersionMax="31" xr10:uidLastSave="{00000000-0000-0000-0000-000000000000}"/>
  <bookViews>
    <workbookView xWindow="0" yWindow="0" windowWidth="28800" windowHeight="11160" activeTab="1" xr2:uid="{FE712974-A990-474E-9082-08B877A1FB98}"/>
  </bookViews>
  <sheets>
    <sheet name="Sheet1" sheetId="1" r:id="rId1"/>
    <sheet name="Sheet1 (2)" sheetId="3" r:id="rId2"/>
    <sheet name="Sheet2" sheetId="2" r:id="rId3"/>
  </sheets>
  <functionGroups builtInGroupCount="19"/>
  <calcPr calcId="179017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3" i="3" l="1"/>
  <c r="E39" i="1"/>
  <c r="I33" i="3" l="1"/>
  <c r="K18" i="3"/>
  <c r="C20" i="1"/>
  <c r="F19" i="3" l="1"/>
  <c r="C20" i="3"/>
  <c r="K19" i="3" l="1"/>
  <c r="K8" i="3"/>
  <c r="K7" i="3"/>
  <c r="F24" i="1"/>
  <c r="F25" i="1"/>
  <c r="K19" i="1"/>
  <c r="K18" i="1"/>
  <c r="H34" i="1"/>
  <c r="I34" i="1" s="1"/>
  <c r="J34" i="1" s="1"/>
  <c r="H33" i="1"/>
  <c r="I33" i="1" s="1"/>
  <c r="J33" i="1" s="1"/>
  <c r="K8" i="1"/>
  <c r="K7" i="1"/>
  <c r="K14" i="1"/>
  <c r="K15" i="3"/>
  <c r="K13" i="1"/>
  <c r="K13" i="3"/>
  <c r="K14" i="3"/>
  <c r="K15" i="1"/>
  <c r="I43" i="1" l="1"/>
  <c r="G37" i="3"/>
  <c r="E43" i="1"/>
  <c r="I37" i="3"/>
  <c r="E37" i="3"/>
  <c r="G33" i="3"/>
  <c r="I39" i="1"/>
  <c r="K34" i="1"/>
  <c r="G43" i="1" s="1"/>
  <c r="K33" i="1"/>
  <c r="G39" i="1" s="1"/>
  <c r="K33" i="3" l="1"/>
  <c r="K37" i="3"/>
  <c r="K43" i="1"/>
  <c r="K39" i="1"/>
</calcChain>
</file>

<file path=xl/sharedStrings.xml><?xml version="1.0" encoding="utf-8"?>
<sst xmlns="http://schemas.openxmlformats.org/spreadsheetml/2006/main" count="127" uniqueCount="67">
  <si>
    <t xml:space="preserve"> </t>
  </si>
  <si>
    <t xml:space="preserve">  Df=</t>
  </si>
  <si>
    <t>mm</t>
    <phoneticPr fontId="3"/>
  </si>
  <si>
    <t>ボーリングNO：</t>
    <phoneticPr fontId="3"/>
  </si>
  <si>
    <t xml:space="preserve">   B=</t>
    <phoneticPr fontId="3"/>
  </si>
  <si>
    <t>支持層：</t>
    <phoneticPr fontId="3"/>
  </si>
  <si>
    <t>Ｎ値：</t>
    <phoneticPr fontId="3"/>
  </si>
  <si>
    <t>D=</t>
    <phoneticPr fontId="4"/>
  </si>
  <si>
    <t>CB=</t>
    <phoneticPr fontId="4"/>
  </si>
  <si>
    <t xml:space="preserve">   ￠=ﾙｰﾄ(20N)+15°=</t>
  </si>
  <si>
    <t>CD=</t>
    <phoneticPr fontId="4"/>
  </si>
  <si>
    <t xml:space="preserve">   C= 6.25N =</t>
    <phoneticPr fontId="3"/>
  </si>
  <si>
    <t>eX=</t>
    <phoneticPr fontId="4"/>
  </si>
  <si>
    <t>eY=</t>
    <phoneticPr fontId="4"/>
  </si>
  <si>
    <t>○支持力係数</t>
  </si>
  <si>
    <t>　　Ｎｃ=</t>
  </si>
  <si>
    <t>　　Ｎｒ=</t>
  </si>
  <si>
    <t>　　Ｎｑ=</t>
  </si>
  <si>
    <t xml:space="preserve">○形状係数  </t>
    <phoneticPr fontId="3"/>
  </si>
  <si>
    <t>γ１=</t>
    <phoneticPr fontId="3"/>
  </si>
  <si>
    <t>kN/m3</t>
    <phoneticPr fontId="3"/>
  </si>
  <si>
    <t>(基礎底面下土平均単位体積重量）</t>
    <rPh sb="1" eb="3">
      <t>キソ</t>
    </rPh>
    <rPh sb="3" eb="5">
      <t>テイメン</t>
    </rPh>
    <rPh sb="5" eb="6">
      <t>カ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</si>
  <si>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γ２=</t>
    <phoneticPr fontId="3"/>
  </si>
  <si>
    <t>(基礎底面上土平均単位体積重量）</t>
    <rPh sb="1" eb="3">
      <t>キソ</t>
    </rPh>
    <rPh sb="3" eb="5">
      <t>テイメン</t>
    </rPh>
    <rPh sb="5" eb="6">
      <t>ウエ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</si>
  <si>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○斜め荷重の影響</t>
    <rPh sb="1" eb="2">
      <t>ナナ</t>
    </rPh>
    <rPh sb="3" eb="5">
      <t>カジュウ</t>
    </rPh>
    <rPh sb="6" eb="8">
      <t>エイキョウ</t>
    </rPh>
    <phoneticPr fontId="3"/>
  </si>
  <si>
    <t>N</t>
    <phoneticPr fontId="4"/>
  </si>
  <si>
    <t>H</t>
    <phoneticPr fontId="4"/>
  </si>
  <si>
    <t>N/H</t>
    <phoneticPr fontId="4"/>
  </si>
  <si>
    <t>θ</t>
    <phoneticPr fontId="5"/>
  </si>
  <si>
    <t>ic,iq</t>
    <phoneticPr fontId="5"/>
  </si>
  <si>
    <t>ir</t>
    <phoneticPr fontId="5"/>
  </si>
  <si>
    <t>長期</t>
    <rPh sb="0" eb="2">
      <t>チョウキ</t>
    </rPh>
    <phoneticPr fontId="4"/>
  </si>
  <si>
    <t>短期</t>
    <rPh sb="0" eb="2">
      <t>タンキ</t>
    </rPh>
    <phoneticPr fontId="4"/>
  </si>
  <si>
    <t>（1）長期，地盤の許容応力度</t>
    <rPh sb="3" eb="5">
      <t>チョウキ</t>
    </rPh>
    <phoneticPr fontId="4"/>
  </si>
  <si>
    <t>lｑa=</t>
    <phoneticPr fontId="3"/>
  </si>
  <si>
    <t>1/3 x (</t>
  </si>
  <si>
    <t>+</t>
  </si>
  <si>
    <t xml:space="preserve"> )   =</t>
    <phoneticPr fontId="4"/>
  </si>
  <si>
    <t>（2）短期期，地盤の許容応力度</t>
    <rPh sb="3" eb="5">
      <t>タンキ</t>
    </rPh>
    <rPh sb="5" eb="6">
      <t>キ</t>
    </rPh>
    <phoneticPr fontId="4"/>
  </si>
  <si>
    <t>sｑa=</t>
    <phoneticPr fontId="3"/>
  </si>
  <si>
    <t>2/3 x (</t>
    <phoneticPr fontId="4"/>
  </si>
  <si>
    <t>kN／㎡</t>
    <phoneticPr fontId="3"/>
  </si>
  <si>
    <t>上記の結果により、設計地耐力を</t>
  </si>
  <si>
    <t>kN／㎡（長期）</t>
    <phoneticPr fontId="3"/>
  </si>
  <si>
    <t>kN／㎡（短期）とする。</t>
    <rPh sb="5" eb="6">
      <t>タン</t>
    </rPh>
    <phoneticPr fontId="3"/>
  </si>
  <si>
    <t>水位　GL-</t>
    <rPh sb="0" eb="2">
      <t>スイイ</t>
    </rPh>
    <phoneticPr fontId="4"/>
  </si>
  <si>
    <t>粘性土</t>
  </si>
  <si>
    <t>L=</t>
    <phoneticPr fontId="2"/>
  </si>
  <si>
    <r>
      <t>1/3(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</si>
  <si>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r>
      <t>2/3(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</si>
  <si>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t>γ１'=</t>
    <phoneticPr fontId="3"/>
  </si>
  <si>
    <t>γ２'=</t>
    <phoneticPr fontId="3"/>
  </si>
  <si>
    <t>mm</t>
    <phoneticPr fontId="4"/>
  </si>
  <si>
    <t>α= 1+0.2*B/L =</t>
    <phoneticPr fontId="3"/>
  </si>
  <si>
    <t>β=0.5-0.2*B/L=</t>
    <phoneticPr fontId="3"/>
  </si>
  <si>
    <t>上部層厚　H：</t>
    <rPh sb="0" eb="2">
      <t>ジョウブ</t>
    </rPh>
    <rPh sb="2" eb="4">
      <t>ソウアツ</t>
    </rPh>
    <phoneticPr fontId="3"/>
  </si>
  <si>
    <t>下部層土質：</t>
    <rPh sb="0" eb="2">
      <t>カブ</t>
    </rPh>
    <rPh sb="3" eb="5">
      <t>ドシツ</t>
    </rPh>
    <phoneticPr fontId="3"/>
  </si>
  <si>
    <t>砂質土</t>
  </si>
  <si>
    <t>1/3(αCNc+βγ1BNr+γ2HNq)    　[kN/㎡]</t>
    <phoneticPr fontId="3"/>
  </si>
  <si>
    <t>(二層地盤面下土平均単位体積重量）</t>
    <rPh sb="1" eb="3">
      <t>ニソウ</t>
    </rPh>
    <rPh sb="3" eb="5">
      <t>ジバン</t>
    </rPh>
    <rPh sb="5" eb="6">
      <t>メン</t>
    </rPh>
    <rPh sb="6" eb="7">
      <t>カ</t>
    </rPh>
    <rPh sb="7" eb="8">
      <t>ツチ</t>
    </rPh>
    <rPh sb="8" eb="10">
      <t>ヘイキン</t>
    </rPh>
    <rPh sb="10" eb="12">
      <t>タンイ</t>
    </rPh>
    <rPh sb="12" eb="14">
      <t>タイセキ</t>
    </rPh>
    <rPh sb="14" eb="16">
      <t>ジュウリョウ</t>
    </rPh>
    <phoneticPr fontId="3"/>
  </si>
  <si>
    <t>土質</t>
    <rPh sb="0" eb="2">
      <t>ドシツ</t>
    </rPh>
    <phoneticPr fontId="2"/>
  </si>
  <si>
    <t>層厚</t>
    <rPh sb="0" eb="2">
      <t>ソウアツ</t>
    </rPh>
    <phoneticPr fontId="2"/>
  </si>
  <si>
    <t>埋め土</t>
    <rPh sb="0" eb="1">
      <t>ウ</t>
    </rPh>
    <rPh sb="2" eb="3">
      <t>ツチ</t>
    </rPh>
    <phoneticPr fontId="2"/>
  </si>
  <si>
    <t>砂</t>
    <rPh sb="0" eb="1">
      <t>スナ</t>
    </rPh>
    <phoneticPr fontId="2"/>
  </si>
  <si>
    <t>粘土</t>
    <rPh sb="0" eb="2">
      <t>ネンド</t>
    </rPh>
    <phoneticPr fontId="2"/>
  </si>
  <si>
    <t>γ’</t>
    <phoneticPr fontId="2"/>
  </si>
  <si>
    <t>層数</t>
    <rPh sb="0" eb="1">
      <t>ソウ</t>
    </rPh>
    <rPh sb="1" eb="2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</si>
</sst>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_ "/>
    <numFmt numFmtId="177" formatCode="0.0"/>
    <numFmt numFmtId="178" formatCode="0.00_ "/>
    <numFmt numFmtId="179" formatCode="0.000_ "/>
    <numFmt numFmtId="180" formatCode="&quot;ft=&quot;0.0_ "/>
  </numFmts>
  <fonts count="12" x14ac:knownFonts="1">
    <font>
      <sz val="11"/>
      <color theme="1"/>
      <name val="游ゴシック"/>
      <family val="2"/>
      <charset val="128"/>
      <scheme val="minor"/>
    </font>
    <font>
      <sz val="14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7"/>
      <name val="ＭＳ Ｐ明朝"/>
      <family val="1"/>
      <charset val="128"/>
    </font>
    <font>
      <sz val="11"/>
      <name val="Meiryo UI"/>
      <family val="3"/>
      <charset val="128"/>
    </font>
    <font>
      <sz val="11"/>
      <color indexed="12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indexed="10"/>
      <name val="Meiryo UI"/>
      <family val="3"/>
      <charset val="128"/>
    </font>
    <font>
      <sz val="11"/>
      <color indexed="10"/>
      <name val="Meiryo UI"/>
      <family val="3"/>
      <charset val="128"/>
    </font>
    <font>
      <sz val="11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" fillId="0" borderId="0"/>
  </cellStyleXfs>
  <cellXfs count="41">
    <xf numFmtId="0" fontId="0" fillId="0" borderId="0" xfId="0">
      <alignment vertical="center"/>
    </xf>
    <xf numFmtId="0" fontId="6" fillId="0" borderId="0" xfId="1" applyFont="1" applyBorder="1" applyAlignment="1">
      <alignment horizontal="right"/>
    </xf>
    <xf numFmtId="0" fontId="6" fillId="0" borderId="0" xfId="1" applyFont="1" applyFill="1" applyAlignment="1">
      <alignment horizontal="center"/>
    </xf>
    <xf numFmtId="0" fontId="6" fillId="0" borderId="0" xfId="1" applyFont="1" applyFill="1"/>
    <xf numFmtId="0" fontId="6" fillId="0" borderId="0" xfId="1" applyFont="1" applyAlignment="1">
      <alignment horizontal="right"/>
    </xf>
    <xf numFmtId="0" fontId="6" fillId="0" borderId="0" xfId="1" quotePrefix="1" applyFont="1" applyFill="1" applyAlignment="1">
      <alignment horizontal="left"/>
    </xf>
    <xf numFmtId="0" fontId="8" fillId="0" borderId="0" xfId="0" applyFont="1">
      <alignment vertical="center"/>
    </xf>
    <xf numFmtId="0" fontId="6" fillId="0" borderId="0" xfId="1" applyFont="1"/>
    <xf numFmtId="0" fontId="9" fillId="0" borderId="0" xfId="2" applyFont="1"/>
    <xf numFmtId="0" fontId="6" fillId="0" borderId="0" xfId="1" applyFont="1" applyBorder="1"/>
    <xf numFmtId="0" fontId="7" fillId="0" borderId="0" xfId="1" applyFont="1" applyBorder="1" applyProtection="1">
      <protection locked="0"/>
    </xf>
    <xf numFmtId="0" fontId="7" fillId="0" borderId="0" xfId="1" applyFont="1" applyBorder="1" applyAlignment="1" applyProtection="1">
      <alignment horizontal="center"/>
      <protection locked="0"/>
    </xf>
    <xf numFmtId="0" fontId="6" fillId="0" borderId="0" xfId="1" applyFont="1" applyAlignment="1">
      <alignment horizontal="center"/>
    </xf>
    <xf numFmtId="0" fontId="6" fillId="0" borderId="0" xfId="1" applyFont="1" applyFill="1" applyBorder="1"/>
    <xf numFmtId="0" fontId="7" fillId="0" borderId="0" xfId="1" applyFont="1" applyFill="1" applyBorder="1" applyProtection="1">
      <protection locked="0"/>
    </xf>
    <xf numFmtId="0" fontId="6" fillId="0" borderId="0" xfId="1" applyFont="1" applyFill="1" applyBorder="1" applyAlignment="1">
      <alignment horizontal="right"/>
    </xf>
    <xf numFmtId="0" fontId="6" fillId="0" borderId="0" xfId="1" applyFont="1" applyFill="1" applyAlignment="1">
      <alignment horizontal="right"/>
    </xf>
    <xf numFmtId="0" fontId="7" fillId="0" borderId="1" xfId="1" applyFont="1" applyFill="1" applyBorder="1" applyAlignment="1" applyProtection="1">
      <alignment horizontal="center"/>
      <protection locked="0"/>
    </xf>
    <xf numFmtId="0" fontId="7" fillId="0" borderId="1" xfId="1" applyFont="1" applyFill="1" applyBorder="1" applyAlignment="1">
      <alignment horizontal="center"/>
    </xf>
    <xf numFmtId="177" fontId="6" fillId="0" borderId="0" xfId="1" applyNumberFormat="1" applyFont="1" applyAlignment="1">
      <alignment horizontal="center"/>
    </xf>
    <xf numFmtId="0" fontId="6" fillId="0" borderId="0" xfId="1" applyFont="1" applyFill="1" applyBorder="1" applyAlignment="1" applyProtection="1">
      <alignment horizontal="right"/>
      <protection locked="0"/>
    </xf>
    <xf numFmtId="0" fontId="6" fillId="0" borderId="0" xfId="1" applyFont="1" applyFill="1" applyAlignment="1">
      <alignment horizontal="left"/>
    </xf>
    <xf numFmtId="0" fontId="6" fillId="0" borderId="2" xfId="1" applyFont="1" applyBorder="1" applyAlignment="1"/>
    <xf numFmtId="0" fontId="6" fillId="0" borderId="3" xfId="1" applyFont="1" applyBorder="1" applyAlignment="1">
      <alignment horizontal="center"/>
    </xf>
    <xf numFmtId="0" fontId="6" fillId="0" borderId="3" xfId="2" applyFont="1" applyFill="1" applyBorder="1" applyAlignment="1">
      <alignment horizontal="center"/>
    </xf>
    <xf numFmtId="0" fontId="6" fillId="0" borderId="3" xfId="1" applyFont="1" applyBorder="1" applyAlignment="1">
      <alignment horizontal="center" shrinkToFit="1"/>
    </xf>
    <xf numFmtId="2" fontId="7" fillId="0" borderId="3" xfId="2" applyNumberFormat="1" applyFont="1" applyFill="1" applyBorder="1" applyAlignment="1">
      <alignment horizontal="center" shrinkToFit="1"/>
    </xf>
    <xf numFmtId="179" fontId="6" fillId="0" borderId="3" xfId="2" applyNumberFormat="1" applyFont="1" applyFill="1" applyBorder="1" applyAlignment="1">
      <alignment horizontal="center" shrinkToFit="1"/>
    </xf>
    <xf numFmtId="178" fontId="6" fillId="0" borderId="3" xfId="2" applyNumberFormat="1" applyFont="1" applyFill="1" applyBorder="1" applyAlignment="1">
      <alignment horizontal="center" shrinkToFit="1"/>
    </xf>
    <xf numFmtId="179" fontId="10" fillId="0" borderId="3" xfId="2" applyNumberFormat="1" applyFont="1" applyFill="1" applyBorder="1" applyAlignment="1">
      <alignment horizontal="center" shrinkToFit="1"/>
    </xf>
    <xf numFmtId="180" fontId="6" fillId="0" borderId="0" xfId="1" quotePrefix="1" applyNumberFormat="1" applyFont="1" applyFill="1" applyAlignment="1">
      <alignment horizontal="left"/>
    </xf>
    <xf numFmtId="0" fontId="6" fillId="0" borderId="0" xfId="1" quotePrefix="1" applyFont="1" applyFill="1" applyAlignment="1">
      <alignment horizontal="right"/>
    </xf>
    <xf numFmtId="176" fontId="6" fillId="0" borderId="0" xfId="1" applyNumberFormat="1" applyFont="1" applyFill="1" applyAlignment="1">
      <alignment horizontal="center"/>
    </xf>
    <xf numFmtId="176" fontId="10" fillId="0" borderId="0" xfId="1" applyNumberFormat="1" applyFont="1" applyFill="1"/>
    <xf numFmtId="177" fontId="8" fillId="0" borderId="0" xfId="0" applyNumberFormat="1" applyFont="1" applyAlignment="1">
      <alignment horizontal="center" vertical="center"/>
    </xf>
    <xf numFmtId="176" fontId="7" fillId="0" borderId="0" xfId="1" applyNumberFormat="1" applyFont="1" applyFill="1" applyBorder="1" applyAlignment="1" applyProtection="1">
      <alignment horizontal="center"/>
      <protection locked="0"/>
    </xf>
    <xf numFmtId="178" fontId="6" fillId="0" borderId="0" xfId="1" applyNumberFormat="1" applyFont="1" applyFill="1" applyAlignment="1">
      <alignment horizontal="center"/>
    </xf>
    <xf numFmtId="0" fontId="11" fillId="0" borderId="0" xfId="1" applyFont="1" applyFill="1" applyBorder="1" applyAlignment="1" applyProtection="1">
      <alignment horizontal="right"/>
      <protection locked="0"/>
    </xf>
    <xf numFmtId="0" fontId="11" fillId="0" borderId="0" xfId="1" applyFont="1" applyFill="1" applyAlignment="1">
      <alignment horizontal="right"/>
    </xf>
    <xf numFmtId="2" fontId="6" fillId="0" borderId="0" xfId="1" applyNumberFormat="1" applyFont="1" applyFill="1" applyAlignment="1" applyProtection="1">
      <alignment horizontal="center"/>
    </xf>
    <xf numFmtId="0" fontId="8" fillId="0" borderId="0" xfId="0" applyFont="1" applyBorder="1" applyAlignment="1">
      <alignment horizontal="center" vertical="center"/>
    </xf>
  </cellXfs>
  <cellStyles count="3">
    <cellStyle name="標準" xfId="0" builtinId="0"/>
    <cellStyle name="標準_N1113基礎支持力" xfId="2" xr:uid="{929AA6AB-218C-4841-943D-17F8053EDB9D}"/>
    <cellStyle name="標準_基礎支持力qa" xfId="1" xr:uid="{68B9C565-4D54-4A92-840F-DAF1268583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42" name="line01">
          <a:extLst>
            <a:ext uri="{FF2B5EF4-FFF2-40B4-BE49-F238E27FC236}">
              <a16:creationId xmlns:a16="http://schemas.microsoft.com/office/drawing/2014/main" id="{E967C2A0-F7C7-4612-A4D5-5958861B63C9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43" name="textbox01">
          <a:extLst>
            <a:ext uri="{FF2B5EF4-FFF2-40B4-BE49-F238E27FC236}">
              <a16:creationId xmlns:a16="http://schemas.microsoft.com/office/drawing/2014/main" id="{AC9244EE-B781-41FB-8CA7-732720A92E41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4" name="line01">
          <a:extLst>
            <a:ext uri="{FF2B5EF4-FFF2-40B4-BE49-F238E27FC236}">
              <a16:creationId xmlns:a16="http://schemas.microsoft.com/office/drawing/2014/main" id="{D9B26A1C-E99C-4ECD-950F-5C83D2D48203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5" name="line01">
          <a:extLst>
            <a:ext uri="{FF2B5EF4-FFF2-40B4-BE49-F238E27FC236}">
              <a16:creationId xmlns:a16="http://schemas.microsoft.com/office/drawing/2014/main" id="{1455D7CC-4A75-4998-9627-26D338653369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6" name="line01">
          <a:extLst>
            <a:ext uri="{FF2B5EF4-FFF2-40B4-BE49-F238E27FC236}">
              <a16:creationId xmlns:a16="http://schemas.microsoft.com/office/drawing/2014/main" id="{8EA828D0-0DBB-4C85-9ED1-C2B097089E26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7" name="line01">
          <a:extLst>
            <a:ext uri="{FF2B5EF4-FFF2-40B4-BE49-F238E27FC236}">
              <a16:creationId xmlns:a16="http://schemas.microsoft.com/office/drawing/2014/main" id="{13A5B7CF-202D-496E-8E39-B94E0EDEDC5E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48" name="line02">
          <a:extLst>
            <a:ext uri="{FF2B5EF4-FFF2-40B4-BE49-F238E27FC236}">
              <a16:creationId xmlns:a16="http://schemas.microsoft.com/office/drawing/2014/main" id="{17EF8EEA-BCCF-4E9E-902E-37D6DEB097D6}"/>
            </a:ext>
          </a:extLst>
        </xdr:cNvPr>
        <xdr:cNvCxnSpPr/>
      </xdr:nvCxnSpPr>
      <xdr:spPr>
        <a:xfrm>
          <a:off x="548986" y="3200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5</xdr:col>
      <xdr:colOff>0</xdr:colOff>
      <xdr:row>8</xdr:row>
      <xdr:rowOff>181841</xdr:rowOff>
    </xdr:to>
    <xdr:cxnSp macro="">
      <xdr:nvCxnSpPr>
        <xdr:cNvPr id="49" name="line02">
          <a:extLst>
            <a:ext uri="{FF2B5EF4-FFF2-40B4-BE49-F238E27FC236}">
              <a16:creationId xmlns:a16="http://schemas.microsoft.com/office/drawing/2014/main" id="{0A58C98A-6AE6-449A-9499-42957692920D}"/>
            </a:ext>
          </a:extLst>
        </xdr:cNvPr>
        <xdr:cNvCxnSpPr/>
      </xdr:nvCxnSpPr>
      <xdr:spPr>
        <a:xfrm>
          <a:off x="548986" y="178204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1</xdr:col>
      <xdr:colOff>196561</xdr:colOff>
      <xdr:row>16</xdr:row>
      <xdr:rowOff>0</xdr:rowOff>
    </xdr:to>
    <xdr:cxnSp macro="">
      <xdr:nvCxnSpPr>
        <xdr:cNvPr id="50" name="line02">
          <a:extLst>
            <a:ext uri="{FF2B5EF4-FFF2-40B4-BE49-F238E27FC236}">
              <a16:creationId xmlns:a16="http://schemas.microsoft.com/office/drawing/2014/main" id="{B8C566CD-6F08-4E57-A421-CF1D0D4B73B6}"/>
            </a:ext>
          </a:extLst>
        </xdr:cNvPr>
        <xdr:cNvCxnSpPr/>
      </xdr:nvCxnSpPr>
      <xdr:spPr>
        <a:xfrm flipV="1">
          <a:off x="548986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181841</xdr:rowOff>
    </xdr:from>
    <xdr:to>
      <xdr:col>5</xdr:col>
      <xdr:colOff>0</xdr:colOff>
      <xdr:row>16</xdr:row>
      <xdr:rowOff>0</xdr:rowOff>
    </xdr:to>
    <xdr:cxnSp macro="">
      <xdr:nvCxnSpPr>
        <xdr:cNvPr id="51" name="line02">
          <a:extLst>
            <a:ext uri="{FF2B5EF4-FFF2-40B4-BE49-F238E27FC236}">
              <a16:creationId xmlns:a16="http://schemas.microsoft.com/office/drawing/2014/main" id="{FC1D6B07-2879-4A2C-B181-B4CEE4E9415F}"/>
            </a:ext>
          </a:extLst>
        </xdr:cNvPr>
        <xdr:cNvCxnSpPr/>
      </xdr:nvCxnSpPr>
      <xdr:spPr>
        <a:xfrm flipV="1">
          <a:off x="2676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7</xdr:row>
      <xdr:rowOff>27276</xdr:rowOff>
    </xdr:from>
    <xdr:to>
      <xdr:col>5</xdr:col>
      <xdr:colOff>0</xdr:colOff>
      <xdr:row>7</xdr:row>
      <xdr:rowOff>27276</xdr:rowOff>
    </xdr:to>
    <xdr:cxnSp macro="">
      <xdr:nvCxnSpPr>
        <xdr:cNvPr id="52" name="line02">
          <a:extLst>
            <a:ext uri="{FF2B5EF4-FFF2-40B4-BE49-F238E27FC236}">
              <a16:creationId xmlns:a16="http://schemas.microsoft.com/office/drawing/2014/main" id="{BFBD4456-D279-429C-AC64-513E9B006042}"/>
            </a:ext>
          </a:extLst>
        </xdr:cNvPr>
        <xdr:cNvCxnSpPr/>
      </xdr:nvCxnSpPr>
      <xdr:spPr>
        <a:xfrm>
          <a:off x="548986" y="142745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5</xdr:col>
      <xdr:colOff>0</xdr:colOff>
      <xdr:row>5</xdr:row>
      <xdr:rowOff>72736</xdr:rowOff>
    </xdr:to>
    <xdr:cxnSp macro="">
      <xdr:nvCxnSpPr>
        <xdr:cNvPr id="53" name="line02">
          <a:extLst>
            <a:ext uri="{FF2B5EF4-FFF2-40B4-BE49-F238E27FC236}">
              <a16:creationId xmlns:a16="http://schemas.microsoft.com/office/drawing/2014/main" id="{532A28D8-5A4D-46C5-825D-FB6D0920F20D}"/>
            </a:ext>
          </a:extLst>
        </xdr:cNvPr>
        <xdr:cNvCxnSpPr/>
      </xdr:nvCxnSpPr>
      <xdr:spPr>
        <a:xfrm>
          <a:off x="548986" y="107286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1</xdr:col>
      <xdr:colOff>196561</xdr:colOff>
      <xdr:row>7</xdr:row>
      <xdr:rowOff>27276</xdr:rowOff>
    </xdr:to>
    <xdr:cxnSp macro="">
      <xdr:nvCxnSpPr>
        <xdr:cNvPr id="54" name="line02">
          <a:extLst>
            <a:ext uri="{FF2B5EF4-FFF2-40B4-BE49-F238E27FC236}">
              <a16:creationId xmlns:a16="http://schemas.microsoft.com/office/drawing/2014/main" id="{A9419509-C340-41B6-A495-2F83254EC696}"/>
            </a:ext>
          </a:extLst>
        </xdr:cNvPr>
        <xdr:cNvCxnSpPr/>
      </xdr:nvCxnSpPr>
      <xdr:spPr>
        <a:xfrm flipV="1">
          <a:off x="548986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72736</xdr:rowOff>
    </xdr:from>
    <xdr:to>
      <xdr:col>5</xdr:col>
      <xdr:colOff>0</xdr:colOff>
      <xdr:row>7</xdr:row>
      <xdr:rowOff>27276</xdr:rowOff>
    </xdr:to>
    <xdr:cxnSp macro="">
      <xdr:nvCxnSpPr>
        <xdr:cNvPr id="55" name="line02">
          <a:extLst>
            <a:ext uri="{FF2B5EF4-FFF2-40B4-BE49-F238E27FC236}">
              <a16:creationId xmlns:a16="http://schemas.microsoft.com/office/drawing/2014/main" id="{D5876E38-0637-4A9E-A4AA-3CC5DBE13E7B}"/>
            </a:ext>
          </a:extLst>
        </xdr:cNvPr>
        <xdr:cNvCxnSpPr/>
      </xdr:nvCxnSpPr>
      <xdr:spPr>
        <a:xfrm flipV="1">
          <a:off x="26765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3</xdr:row>
      <xdr:rowOff>0</xdr:rowOff>
    </xdr:from>
    <xdr:to>
      <xdr:col>2</xdr:col>
      <xdr:colOff>236068</xdr:colOff>
      <xdr:row>5</xdr:row>
      <xdr:rowOff>72736</xdr:rowOff>
    </xdr:to>
    <xdr:cxnSp macro="">
      <xdr:nvCxnSpPr>
        <xdr:cNvPr id="56" name="line02">
          <a:extLst>
            <a:ext uri="{FF2B5EF4-FFF2-40B4-BE49-F238E27FC236}">
              <a16:creationId xmlns:a16="http://schemas.microsoft.com/office/drawing/2014/main" id="{69901C2E-D6B1-481A-AFE5-D9BF049ECD8D}"/>
            </a:ext>
          </a:extLst>
        </xdr:cNvPr>
        <xdr:cNvCxnSpPr/>
      </xdr:nvCxnSpPr>
      <xdr:spPr>
        <a:xfrm flipV="1">
          <a:off x="1169518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3</xdr:row>
      <xdr:rowOff>0</xdr:rowOff>
    </xdr:from>
    <xdr:to>
      <xdr:col>3</xdr:col>
      <xdr:colOff>541518</xdr:colOff>
      <xdr:row>5</xdr:row>
      <xdr:rowOff>72736</xdr:rowOff>
    </xdr:to>
    <xdr:cxnSp macro="">
      <xdr:nvCxnSpPr>
        <xdr:cNvPr id="57" name="line02">
          <a:extLst>
            <a:ext uri="{FF2B5EF4-FFF2-40B4-BE49-F238E27FC236}">
              <a16:creationId xmlns:a16="http://schemas.microsoft.com/office/drawing/2014/main" id="{4248E9B6-E82B-429C-99D4-31E62F025205}"/>
            </a:ext>
          </a:extLst>
        </xdr:cNvPr>
        <xdr:cNvCxnSpPr/>
      </xdr:nvCxnSpPr>
      <xdr:spPr>
        <a:xfrm flipV="1">
          <a:off x="2055993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14</xdr:row>
      <xdr:rowOff>134108</xdr:rowOff>
    </xdr:from>
    <xdr:to>
      <xdr:col>3</xdr:col>
      <xdr:colOff>541518</xdr:colOff>
      <xdr:row>14</xdr:row>
      <xdr:rowOff>134108</xdr:rowOff>
    </xdr:to>
    <xdr:cxnSp macro="">
      <xdr:nvCxnSpPr>
        <xdr:cNvPr id="58" name="line02">
          <a:extLst>
            <a:ext uri="{FF2B5EF4-FFF2-40B4-BE49-F238E27FC236}">
              <a16:creationId xmlns:a16="http://schemas.microsoft.com/office/drawing/2014/main" id="{6790FF71-52E0-414E-BCBF-C2D20F4E35C7}"/>
            </a:ext>
          </a:extLst>
        </xdr:cNvPr>
        <xdr:cNvCxnSpPr/>
      </xdr:nvCxnSpPr>
      <xdr:spPr>
        <a:xfrm>
          <a:off x="1169518" y="2934458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3</xdr:col>
      <xdr:colOff>541518</xdr:colOff>
      <xdr:row>10</xdr:row>
      <xdr:rowOff>47733</xdr:rowOff>
    </xdr:to>
    <xdr:cxnSp macro="">
      <xdr:nvCxnSpPr>
        <xdr:cNvPr id="59" name="line02">
          <a:extLst>
            <a:ext uri="{FF2B5EF4-FFF2-40B4-BE49-F238E27FC236}">
              <a16:creationId xmlns:a16="http://schemas.microsoft.com/office/drawing/2014/main" id="{352F73FA-DB68-4511-B3EE-1DE829F15505}"/>
            </a:ext>
          </a:extLst>
        </xdr:cNvPr>
        <xdr:cNvCxnSpPr/>
      </xdr:nvCxnSpPr>
      <xdr:spPr>
        <a:xfrm>
          <a:off x="1169518" y="2047983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2</xdr:col>
      <xdr:colOff>236068</xdr:colOff>
      <xdr:row>14</xdr:row>
      <xdr:rowOff>134108</xdr:rowOff>
    </xdr:to>
    <xdr:cxnSp macro="">
      <xdr:nvCxnSpPr>
        <xdr:cNvPr id="60" name="line02">
          <a:extLst>
            <a:ext uri="{FF2B5EF4-FFF2-40B4-BE49-F238E27FC236}">
              <a16:creationId xmlns:a16="http://schemas.microsoft.com/office/drawing/2014/main" id="{4CCFD7AA-AA10-48A7-93DB-88EAF89F3D38}"/>
            </a:ext>
          </a:extLst>
        </xdr:cNvPr>
        <xdr:cNvCxnSpPr/>
      </xdr:nvCxnSpPr>
      <xdr:spPr>
        <a:xfrm flipV="1">
          <a:off x="1169518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10</xdr:row>
      <xdr:rowOff>47733</xdr:rowOff>
    </xdr:from>
    <xdr:to>
      <xdr:col>3</xdr:col>
      <xdr:colOff>541518</xdr:colOff>
      <xdr:row>14</xdr:row>
      <xdr:rowOff>134108</xdr:rowOff>
    </xdr:to>
    <xdr:cxnSp macro="">
      <xdr:nvCxnSpPr>
        <xdr:cNvPr id="61" name="line02">
          <a:extLst>
            <a:ext uri="{FF2B5EF4-FFF2-40B4-BE49-F238E27FC236}">
              <a16:creationId xmlns:a16="http://schemas.microsoft.com/office/drawing/2014/main" id="{526A89C1-6778-4B23-BEE4-3CDF98893EBF}"/>
            </a:ext>
          </a:extLst>
        </xdr:cNvPr>
        <xdr:cNvCxnSpPr/>
      </xdr:nvCxnSpPr>
      <xdr:spPr>
        <a:xfrm flipV="1">
          <a:off x="2055993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7</xdr:row>
      <xdr:rowOff>27276</xdr:rowOff>
    </xdr:to>
    <xdr:cxnSp macro="">
      <xdr:nvCxnSpPr>
        <xdr:cNvPr id="62" name="line02">
          <a:extLst>
            <a:ext uri="{FF2B5EF4-FFF2-40B4-BE49-F238E27FC236}">
              <a16:creationId xmlns:a16="http://schemas.microsoft.com/office/drawing/2014/main" id="{BC8890D1-1C82-41C4-BC69-84F414E8BAAF}"/>
            </a:ext>
          </a:extLst>
        </xdr:cNvPr>
        <xdr:cNvCxnSpPr/>
      </xdr:nvCxnSpPr>
      <xdr:spPr>
        <a:xfrm flipV="1">
          <a:off x="3311525" y="600075"/>
          <a:ext cx="0" cy="82737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72736</xdr:rowOff>
    </xdr:from>
    <xdr:to>
      <xdr:col>5</xdr:col>
      <xdr:colOff>317500</xdr:colOff>
      <xdr:row>7</xdr:row>
      <xdr:rowOff>27276</xdr:rowOff>
    </xdr:to>
    <xdr:cxnSp macro="">
      <xdr:nvCxnSpPr>
        <xdr:cNvPr id="63" name="line02">
          <a:extLst>
            <a:ext uri="{FF2B5EF4-FFF2-40B4-BE49-F238E27FC236}">
              <a16:creationId xmlns:a16="http://schemas.microsoft.com/office/drawing/2014/main" id="{56233BB0-BF02-4557-ADF8-7EDE7B994D91}"/>
            </a:ext>
          </a:extLst>
        </xdr:cNvPr>
        <xdr:cNvCxnSpPr/>
      </xdr:nvCxnSpPr>
      <xdr:spPr>
        <a:xfrm flipV="1">
          <a:off x="29940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27276</xdr:rowOff>
    </xdr:from>
    <xdr:to>
      <xdr:col>6</xdr:col>
      <xdr:colOff>117475</xdr:colOff>
      <xdr:row>7</xdr:row>
      <xdr:rowOff>27276</xdr:rowOff>
    </xdr:to>
    <xdr:cxnSp macro="">
      <xdr:nvCxnSpPr>
        <xdr:cNvPr id="1408" name="line02">
          <a:extLst>
            <a:ext uri="{FF2B5EF4-FFF2-40B4-BE49-F238E27FC236}">
              <a16:creationId xmlns:a16="http://schemas.microsoft.com/office/drawing/2014/main" id="{A0413D50-BBF7-42FB-A1BB-5C0A13266F41}"/>
            </a:ext>
          </a:extLst>
        </xdr:cNvPr>
        <xdr:cNvCxnSpPr/>
      </xdr:nvCxnSpPr>
      <xdr:spPr>
        <a:xfrm>
          <a:off x="2740025" y="1427451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72736</xdr:rowOff>
    </xdr:from>
    <xdr:to>
      <xdr:col>5</xdr:col>
      <xdr:colOff>355600</xdr:colOff>
      <xdr:row>5</xdr:row>
      <xdr:rowOff>72736</xdr:rowOff>
    </xdr:to>
    <xdr:cxnSp macro="">
      <xdr:nvCxnSpPr>
        <xdr:cNvPr id="1409" name="line02">
          <a:extLst>
            <a:ext uri="{FF2B5EF4-FFF2-40B4-BE49-F238E27FC236}">
              <a16:creationId xmlns:a16="http://schemas.microsoft.com/office/drawing/2014/main" id="{AF1729C5-9969-491D-9718-2C9EC040B9D9}"/>
            </a:ext>
          </a:extLst>
        </xdr:cNvPr>
        <xdr:cNvCxnSpPr/>
      </xdr:nvCxnSpPr>
      <xdr:spPr>
        <a:xfrm>
          <a:off x="2740025" y="1072861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17</xdr:row>
      <xdr:rowOff>180975</xdr:rowOff>
    </xdr:from>
    <xdr:to>
      <xdr:col>5</xdr:col>
      <xdr:colOff>0</xdr:colOff>
      <xdr:row>17</xdr:row>
      <xdr:rowOff>180975</xdr:rowOff>
    </xdr:to>
    <xdr:cxnSp macro="">
      <xdr:nvCxnSpPr>
        <xdr:cNvPr id="1410" name="line02">
          <a:extLst>
            <a:ext uri="{FF2B5EF4-FFF2-40B4-BE49-F238E27FC236}">
              <a16:creationId xmlns:a16="http://schemas.microsoft.com/office/drawing/2014/main" id="{7E0351DE-9347-4DA8-AB7D-686EED874A3C}"/>
            </a:ext>
          </a:extLst>
        </xdr:cNvPr>
        <xdr:cNvCxnSpPr/>
      </xdr:nvCxnSpPr>
      <xdr:spPr>
        <a:xfrm>
          <a:off x="548986" y="3581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1411" name="line02">
          <a:extLst>
            <a:ext uri="{FF2B5EF4-FFF2-40B4-BE49-F238E27FC236}">
              <a16:creationId xmlns:a16="http://schemas.microsoft.com/office/drawing/2014/main" id="{E4B952F9-3307-4B13-BCE9-D9B324E29DD5}"/>
            </a:ext>
          </a:extLst>
        </xdr:cNvPr>
        <xdr:cNvCxnSpPr/>
      </xdr:nvCxnSpPr>
      <xdr:spPr>
        <a:xfrm>
          <a:off x="548986" y="33909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38100</xdr:rowOff>
    </xdr:from>
    <xdr:to>
      <xdr:col>1</xdr:col>
      <xdr:colOff>196561</xdr:colOff>
      <xdr:row>17</xdr:row>
      <xdr:rowOff>180975</xdr:rowOff>
    </xdr:to>
    <xdr:cxnSp macro="">
      <xdr:nvCxnSpPr>
        <xdr:cNvPr id="1412" name="line02">
          <a:extLst>
            <a:ext uri="{FF2B5EF4-FFF2-40B4-BE49-F238E27FC236}">
              <a16:creationId xmlns:a16="http://schemas.microsoft.com/office/drawing/2014/main" id="{858B77F2-1BA0-4AD2-B510-F1D52CA1722D}"/>
            </a:ext>
          </a:extLst>
        </xdr:cNvPr>
        <xdr:cNvCxnSpPr/>
      </xdr:nvCxnSpPr>
      <xdr:spPr>
        <a:xfrm flipV="1">
          <a:off x="548986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180975</xdr:rowOff>
    </xdr:to>
    <xdr:cxnSp macro="">
      <xdr:nvCxnSpPr>
        <xdr:cNvPr id="1413" name="line02">
          <a:extLst>
            <a:ext uri="{FF2B5EF4-FFF2-40B4-BE49-F238E27FC236}">
              <a16:creationId xmlns:a16="http://schemas.microsoft.com/office/drawing/2014/main" id="{85360464-C4DD-4A0A-9AE7-63549A78F7DA}"/>
            </a:ext>
          </a:extLst>
        </xdr:cNvPr>
        <xdr:cNvCxnSpPr/>
      </xdr:nvCxnSpPr>
      <xdr:spPr>
        <a:xfrm flipV="1">
          <a:off x="2676525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8</xdr:row>
      <xdr:rowOff>181841</xdr:rowOff>
    </xdr:from>
    <xdr:to>
      <xdr:col>6</xdr:col>
      <xdr:colOff>53975</xdr:colOff>
      <xdr:row>16</xdr:row>
      <xdr:rowOff>0</xdr:rowOff>
    </xdr:to>
    <xdr:cxnSp macro="">
      <xdr:nvCxnSpPr>
        <xdr:cNvPr id="1414" name="line02">
          <a:extLst>
            <a:ext uri="{FF2B5EF4-FFF2-40B4-BE49-F238E27FC236}">
              <a16:creationId xmlns:a16="http://schemas.microsoft.com/office/drawing/2014/main" id="{15B9D4C7-B361-4F74-AF38-0495AF7DDE8A}"/>
            </a:ext>
          </a:extLst>
        </xdr:cNvPr>
        <xdr:cNvCxnSpPr/>
      </xdr:nvCxnSpPr>
      <xdr:spPr>
        <a:xfrm flipV="1">
          <a:off x="3311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181841</xdr:rowOff>
    </xdr:from>
    <xdr:to>
      <xdr:col>5</xdr:col>
      <xdr:colOff>317500</xdr:colOff>
      <xdr:row>16</xdr:row>
      <xdr:rowOff>0</xdr:rowOff>
    </xdr:to>
    <xdr:cxnSp macro="">
      <xdr:nvCxnSpPr>
        <xdr:cNvPr id="1415" name="line02">
          <a:extLst>
            <a:ext uri="{FF2B5EF4-FFF2-40B4-BE49-F238E27FC236}">
              <a16:creationId xmlns:a16="http://schemas.microsoft.com/office/drawing/2014/main" id="{2ACAC875-39CE-4124-8CDB-D9EF78D4B162}"/>
            </a:ext>
          </a:extLst>
        </xdr:cNvPr>
        <xdr:cNvCxnSpPr/>
      </xdr:nvCxnSpPr>
      <xdr:spPr>
        <a:xfrm flipV="1">
          <a:off x="29940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79375</xdr:colOff>
      <xdr:row>16</xdr:row>
      <xdr:rowOff>0</xdr:rowOff>
    </xdr:to>
    <xdr:cxnSp macro="">
      <xdr:nvCxnSpPr>
        <xdr:cNvPr id="1416" name="line02">
          <a:extLst>
            <a:ext uri="{FF2B5EF4-FFF2-40B4-BE49-F238E27FC236}">
              <a16:creationId xmlns:a16="http://schemas.microsoft.com/office/drawing/2014/main" id="{92942F75-7839-4254-8724-D8E69794785E}"/>
            </a:ext>
          </a:extLst>
        </xdr:cNvPr>
        <xdr:cNvCxnSpPr/>
      </xdr:nvCxnSpPr>
      <xdr:spPr>
        <a:xfrm>
          <a:off x="2740025" y="32004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181841</xdr:rowOff>
    </xdr:from>
    <xdr:to>
      <xdr:col>6</xdr:col>
      <xdr:colOff>79375</xdr:colOff>
      <xdr:row>8</xdr:row>
      <xdr:rowOff>181841</xdr:rowOff>
    </xdr:to>
    <xdr:cxnSp macro="">
      <xdr:nvCxnSpPr>
        <xdr:cNvPr id="1417" name="line02">
          <a:extLst>
            <a:ext uri="{FF2B5EF4-FFF2-40B4-BE49-F238E27FC236}">
              <a16:creationId xmlns:a16="http://schemas.microsoft.com/office/drawing/2014/main" id="{FCF333C1-D010-4F5E-B533-A528936FFFC3}"/>
            </a:ext>
          </a:extLst>
        </xdr:cNvPr>
        <xdr:cNvCxnSpPr/>
      </xdr:nvCxnSpPr>
      <xdr:spPr>
        <a:xfrm>
          <a:off x="2740025" y="1782041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6</xdr:col>
      <xdr:colOff>92075</xdr:colOff>
      <xdr:row>6</xdr:row>
      <xdr:rowOff>34925</xdr:rowOff>
    </xdr:to>
    <xdr:sp macro="" textlink="">
      <xdr:nvSpPr>
        <xdr:cNvPr id="1418" name="textboxDf">
          <a:extLst>
            <a:ext uri="{FF2B5EF4-FFF2-40B4-BE49-F238E27FC236}">
              <a16:creationId xmlns:a16="http://schemas.microsoft.com/office/drawing/2014/main" id="{345C7B7F-5CC2-4D34-AB64-A1A850470A1E}"/>
            </a:ext>
          </a:extLst>
        </xdr:cNvPr>
        <xdr:cNvSpPr txBox="1"/>
      </xdr:nvSpPr>
      <xdr:spPr>
        <a:xfrm rot="16200000">
          <a:off x="2905125" y="7905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3</xdr:row>
      <xdr:rowOff>128876</xdr:rowOff>
    </xdr:from>
    <xdr:to>
      <xdr:col>5</xdr:col>
      <xdr:colOff>381000</xdr:colOff>
      <xdr:row>6</xdr:row>
      <xdr:rowOff>163801</xdr:rowOff>
    </xdr:to>
    <xdr:sp macro="" textlink="">
      <xdr:nvSpPr>
        <xdr:cNvPr id="1419" name="textboxD">
          <a:extLst>
            <a:ext uri="{FF2B5EF4-FFF2-40B4-BE49-F238E27FC236}">
              <a16:creationId xmlns:a16="http://schemas.microsoft.com/office/drawing/2014/main" id="{5183AC4F-C5DD-4D30-A391-B5347BCEBB2E}"/>
            </a:ext>
          </a:extLst>
        </xdr:cNvPr>
        <xdr:cNvSpPr txBox="1"/>
      </xdr:nvSpPr>
      <xdr:spPr>
        <a:xfrm rot="16200000">
          <a:off x="2613025" y="919451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158634</xdr:rowOff>
    </xdr:from>
    <xdr:to>
      <xdr:col>6</xdr:col>
      <xdr:colOff>117475</xdr:colOff>
      <xdr:row>13</xdr:row>
      <xdr:rowOff>193559</xdr:rowOff>
    </xdr:to>
    <xdr:sp macro="" textlink="">
      <xdr:nvSpPr>
        <xdr:cNvPr id="1420" name="textboxB">
          <a:extLst>
            <a:ext uri="{FF2B5EF4-FFF2-40B4-BE49-F238E27FC236}">
              <a16:creationId xmlns:a16="http://schemas.microsoft.com/office/drawing/2014/main" id="{93A77DD3-D9FC-4A8B-9B36-102AD03792B1}"/>
            </a:ext>
          </a:extLst>
        </xdr:cNvPr>
        <xdr:cNvSpPr txBox="1"/>
      </xdr:nvSpPr>
      <xdr:spPr>
        <a:xfrm rot="16200000">
          <a:off x="2930525" y="2349384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133176</xdr:rowOff>
    </xdr:from>
    <xdr:to>
      <xdr:col>5</xdr:col>
      <xdr:colOff>368300</xdr:colOff>
      <xdr:row>11</xdr:row>
      <xdr:rowOff>168101</xdr:rowOff>
    </xdr:to>
    <xdr:sp macro="" textlink="">
      <xdr:nvSpPr>
        <xdr:cNvPr id="1421" name="textboxl2">
          <a:extLst>
            <a:ext uri="{FF2B5EF4-FFF2-40B4-BE49-F238E27FC236}">
              <a16:creationId xmlns:a16="http://schemas.microsoft.com/office/drawing/2014/main" id="{51752205-819A-4CDD-AD2E-8B9D72BA99AD}"/>
            </a:ext>
          </a:extLst>
        </xdr:cNvPr>
        <xdr:cNvSpPr txBox="1"/>
      </xdr:nvSpPr>
      <xdr:spPr>
        <a:xfrm rot="16200000">
          <a:off x="2600325" y="192387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163945</xdr:rowOff>
    </xdr:from>
    <xdr:to>
      <xdr:col>5</xdr:col>
      <xdr:colOff>368300</xdr:colOff>
      <xdr:row>15</xdr:row>
      <xdr:rowOff>125845</xdr:rowOff>
    </xdr:to>
    <xdr:sp macro="" textlink="">
      <xdr:nvSpPr>
        <xdr:cNvPr id="1422" name="textboxex">
          <a:extLst>
            <a:ext uri="{FF2B5EF4-FFF2-40B4-BE49-F238E27FC236}">
              <a16:creationId xmlns:a16="http://schemas.microsoft.com/office/drawing/2014/main" id="{802265E0-1C19-4257-B14F-B8255CFE934D}"/>
            </a:ext>
          </a:extLst>
        </xdr:cNvPr>
        <xdr:cNvSpPr txBox="1"/>
      </xdr:nvSpPr>
      <xdr:spPr>
        <a:xfrm rot="16200000">
          <a:off x="2536825" y="261822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466552</xdr:colOff>
      <xdr:row>16</xdr:row>
      <xdr:rowOff>190500</xdr:rowOff>
    </xdr:from>
    <xdr:to>
      <xdr:col>3</xdr:col>
      <xdr:colOff>520527</xdr:colOff>
      <xdr:row>18</xdr:row>
      <xdr:rowOff>44450</xdr:rowOff>
    </xdr:to>
    <xdr:sp macro="" textlink="">
      <xdr:nvSpPr>
        <xdr:cNvPr id="1423" name="textboxl">
          <a:extLst>
            <a:ext uri="{FF2B5EF4-FFF2-40B4-BE49-F238E27FC236}">
              <a16:creationId xmlns:a16="http://schemas.microsoft.com/office/drawing/2014/main" id="{FB5142B7-0C01-4885-94D3-ACF90D14B161}"/>
            </a:ext>
          </a:extLst>
        </xdr:cNvPr>
        <xdr:cNvSpPr txBox="1"/>
      </xdr:nvSpPr>
      <xdr:spPr>
        <a:xfrm>
          <a:off x="1400002" y="33909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417412</xdr:colOff>
      <xdr:row>16</xdr:row>
      <xdr:rowOff>0</xdr:rowOff>
    </xdr:from>
    <xdr:to>
      <xdr:col>4</xdr:col>
      <xdr:colOff>471387</xdr:colOff>
      <xdr:row>17</xdr:row>
      <xdr:rowOff>53975</xdr:rowOff>
    </xdr:to>
    <xdr:sp macro="" textlink="">
      <xdr:nvSpPr>
        <xdr:cNvPr id="1424" name="textboxl2">
          <a:extLst>
            <a:ext uri="{FF2B5EF4-FFF2-40B4-BE49-F238E27FC236}">
              <a16:creationId xmlns:a16="http://schemas.microsoft.com/office/drawing/2014/main" id="{B98C32E6-E30A-4A22-87F6-79D9B80EE126}"/>
            </a:ext>
          </a:extLst>
        </xdr:cNvPr>
        <xdr:cNvSpPr txBox="1"/>
      </xdr:nvSpPr>
      <xdr:spPr>
        <a:xfrm>
          <a:off x="1931887" y="32004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44306</xdr:colOff>
      <xdr:row>16</xdr:row>
      <xdr:rowOff>0</xdr:rowOff>
    </xdr:from>
    <xdr:to>
      <xdr:col>3</xdr:col>
      <xdr:colOff>352281</xdr:colOff>
      <xdr:row>17</xdr:row>
      <xdr:rowOff>53975</xdr:rowOff>
    </xdr:to>
    <xdr:sp macro="" textlink="">
      <xdr:nvSpPr>
        <xdr:cNvPr id="1425" name="textboxex">
          <a:extLst>
            <a:ext uri="{FF2B5EF4-FFF2-40B4-BE49-F238E27FC236}">
              <a16:creationId xmlns:a16="http://schemas.microsoft.com/office/drawing/2014/main" id="{22A2794E-1EA1-4F3E-B77E-D47877BF6A9A}"/>
            </a:ext>
          </a:extLst>
        </xdr:cNvPr>
        <xdr:cNvSpPr txBox="1"/>
      </xdr:nvSpPr>
      <xdr:spPr>
        <a:xfrm>
          <a:off x="977756" y="32004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12808" name="line01">
          <a:extLst>
            <a:ext uri="{FF2B5EF4-FFF2-40B4-BE49-F238E27FC236}">
              <a16:creationId xmlns:a16="http://schemas.microsoft.com/office/drawing/2014/main" id="{B0156617-8A2D-419A-9734-A64881784BC1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12809" name="textbox01">
          <a:extLst>
            <a:ext uri="{FF2B5EF4-FFF2-40B4-BE49-F238E27FC236}">
              <a16:creationId xmlns:a16="http://schemas.microsoft.com/office/drawing/2014/main" id="{95CB6BF2-D35A-4BD9-9F8A-2C47ED22A0B3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0</xdr:col>
      <xdr:colOff>225425</xdr:colOff>
      <xdr:row>16</xdr:row>
      <xdr:rowOff>0</xdr:rowOff>
    </xdr:from>
    <xdr:to>
      <xdr:col>5</xdr:col>
      <xdr:colOff>127000</xdr:colOff>
      <xdr:row>16</xdr:row>
      <xdr:rowOff>0</xdr:rowOff>
    </xdr:to>
    <xdr:cxnSp macro="">
      <xdr:nvCxnSpPr>
        <xdr:cNvPr id="12810" name="line02">
          <a:extLst>
            <a:ext uri="{FF2B5EF4-FFF2-40B4-BE49-F238E27FC236}">
              <a16:creationId xmlns:a16="http://schemas.microsoft.com/office/drawing/2014/main" id="{3F191BB6-563C-4AF7-8C1E-C66FA5743E7A}"/>
            </a:ext>
          </a:extLst>
        </xdr:cNvPr>
        <xdr:cNvCxnSpPr/>
      </xdr:nvCxnSpPr>
      <xdr:spPr>
        <a:xfrm>
          <a:off x="225425" y="3200400"/>
          <a:ext cx="2578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13</xdr:row>
      <xdr:rowOff>147845</xdr:rowOff>
    </xdr:from>
    <xdr:to>
      <xdr:col>3</xdr:col>
      <xdr:colOff>483704</xdr:colOff>
      <xdr:row>16</xdr:row>
      <xdr:rowOff>0</xdr:rowOff>
    </xdr:to>
    <xdr:cxnSp macro="">
      <xdr:nvCxnSpPr>
        <xdr:cNvPr id="12811" name="line02">
          <a:extLst>
            <a:ext uri="{FF2B5EF4-FFF2-40B4-BE49-F238E27FC236}">
              <a16:creationId xmlns:a16="http://schemas.microsoft.com/office/drawing/2014/main" id="{2947060B-7431-4BCE-B460-B90473557DC2}"/>
            </a:ext>
          </a:extLst>
        </xdr:cNvPr>
        <xdr:cNvCxnSpPr/>
      </xdr:nvCxnSpPr>
      <xdr:spPr>
        <a:xfrm flipV="1">
          <a:off x="1772064" y="2748170"/>
          <a:ext cx="226115" cy="45223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13</xdr:row>
      <xdr:rowOff>147845</xdr:rowOff>
    </xdr:from>
    <xdr:to>
      <xdr:col>5</xdr:col>
      <xdr:colOff>0</xdr:colOff>
      <xdr:row>16</xdr:row>
      <xdr:rowOff>0</xdr:rowOff>
    </xdr:to>
    <xdr:cxnSp macro="">
      <xdr:nvCxnSpPr>
        <xdr:cNvPr id="12812" name="line02">
          <a:extLst>
            <a:ext uri="{FF2B5EF4-FFF2-40B4-BE49-F238E27FC236}">
              <a16:creationId xmlns:a16="http://schemas.microsoft.com/office/drawing/2014/main" id="{917A8319-0080-4E19-B196-CC3FE74553B7}"/>
            </a:ext>
          </a:extLst>
        </xdr:cNvPr>
        <xdr:cNvCxnSpPr/>
      </xdr:nvCxnSpPr>
      <xdr:spPr>
        <a:xfrm flipH="1" flipV="1">
          <a:off x="2450410" y="2748170"/>
          <a:ext cx="226115" cy="45223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13</xdr:row>
      <xdr:rowOff>147845</xdr:rowOff>
    </xdr:from>
    <xdr:to>
      <xdr:col>4</xdr:col>
      <xdr:colOff>354910</xdr:colOff>
      <xdr:row>13</xdr:row>
      <xdr:rowOff>147845</xdr:rowOff>
    </xdr:to>
    <xdr:cxnSp macro="">
      <xdr:nvCxnSpPr>
        <xdr:cNvPr id="12813" name="line02">
          <a:extLst>
            <a:ext uri="{FF2B5EF4-FFF2-40B4-BE49-F238E27FC236}">
              <a16:creationId xmlns:a16="http://schemas.microsoft.com/office/drawing/2014/main" id="{F1590E4C-2DD5-4A53-AD48-182130451880}"/>
            </a:ext>
          </a:extLst>
        </xdr:cNvPr>
        <xdr:cNvCxnSpPr/>
      </xdr:nvCxnSpPr>
      <xdr:spPr>
        <a:xfrm>
          <a:off x="1998179" y="2748170"/>
          <a:ext cx="452231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13</xdr:row>
      <xdr:rowOff>147845</xdr:rowOff>
    </xdr:from>
    <xdr:to>
      <xdr:col>4</xdr:col>
      <xdr:colOff>354910</xdr:colOff>
      <xdr:row>13</xdr:row>
      <xdr:rowOff>147845</xdr:rowOff>
    </xdr:to>
    <xdr:cxnSp macro="">
      <xdr:nvCxnSpPr>
        <xdr:cNvPr id="12814" name="line02">
          <a:extLst>
            <a:ext uri="{FF2B5EF4-FFF2-40B4-BE49-F238E27FC236}">
              <a16:creationId xmlns:a16="http://schemas.microsoft.com/office/drawing/2014/main" id="{BE82B8C9-1CAA-4942-9491-57D970E81667}"/>
            </a:ext>
          </a:extLst>
        </xdr:cNvPr>
        <xdr:cNvCxnSpPr/>
      </xdr:nvCxnSpPr>
      <xdr:spPr>
        <a:xfrm>
          <a:off x="1998179" y="2748170"/>
          <a:ext cx="452231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13</xdr:row>
      <xdr:rowOff>147845</xdr:rowOff>
    </xdr:from>
    <xdr:to>
      <xdr:col>3</xdr:col>
      <xdr:colOff>483704</xdr:colOff>
      <xdr:row>13</xdr:row>
      <xdr:rowOff>147845</xdr:rowOff>
    </xdr:to>
    <xdr:cxnSp macro="">
      <xdr:nvCxnSpPr>
        <xdr:cNvPr id="12815" name="line02">
          <a:extLst>
            <a:ext uri="{FF2B5EF4-FFF2-40B4-BE49-F238E27FC236}">
              <a16:creationId xmlns:a16="http://schemas.microsoft.com/office/drawing/2014/main" id="{B5811900-2CA1-4806-96CF-2C741F5FAA73}"/>
            </a:ext>
          </a:extLst>
        </xdr:cNvPr>
        <xdr:cNvCxnSpPr/>
      </xdr:nvCxnSpPr>
      <xdr:spPr>
        <a:xfrm>
          <a:off x="1998179" y="2748170"/>
          <a:ext cx="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13</xdr:row>
      <xdr:rowOff>147845</xdr:rowOff>
    </xdr:from>
    <xdr:to>
      <xdr:col>4</xdr:col>
      <xdr:colOff>354910</xdr:colOff>
      <xdr:row>13</xdr:row>
      <xdr:rowOff>147845</xdr:rowOff>
    </xdr:to>
    <xdr:cxnSp macro="">
      <xdr:nvCxnSpPr>
        <xdr:cNvPr id="12816" name="line02">
          <a:extLst>
            <a:ext uri="{FF2B5EF4-FFF2-40B4-BE49-F238E27FC236}">
              <a16:creationId xmlns:a16="http://schemas.microsoft.com/office/drawing/2014/main" id="{4007CFAE-746B-4FA6-A9D5-ECC5807C38D2}"/>
            </a:ext>
          </a:extLst>
        </xdr:cNvPr>
        <xdr:cNvCxnSpPr/>
      </xdr:nvCxnSpPr>
      <xdr:spPr>
        <a:xfrm>
          <a:off x="2450410" y="2748170"/>
          <a:ext cx="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3</xdr:row>
      <xdr:rowOff>0</xdr:rowOff>
    </xdr:from>
    <xdr:to>
      <xdr:col>3</xdr:col>
      <xdr:colOff>483704</xdr:colOff>
      <xdr:row>13</xdr:row>
      <xdr:rowOff>147845</xdr:rowOff>
    </xdr:to>
    <xdr:cxnSp macro="">
      <xdr:nvCxnSpPr>
        <xdr:cNvPr id="12817" name="line02">
          <a:extLst>
            <a:ext uri="{FF2B5EF4-FFF2-40B4-BE49-F238E27FC236}">
              <a16:creationId xmlns:a16="http://schemas.microsoft.com/office/drawing/2014/main" id="{290E0E64-0210-40CE-9261-EF47B5E12BA7}"/>
            </a:ext>
          </a:extLst>
        </xdr:cNvPr>
        <xdr:cNvCxnSpPr/>
      </xdr:nvCxnSpPr>
      <xdr:spPr>
        <a:xfrm flipV="1">
          <a:off x="1998179" y="600075"/>
          <a:ext cx="0" cy="214809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3</xdr:row>
      <xdr:rowOff>0</xdr:rowOff>
    </xdr:from>
    <xdr:to>
      <xdr:col>4</xdr:col>
      <xdr:colOff>354910</xdr:colOff>
      <xdr:row>13</xdr:row>
      <xdr:rowOff>147845</xdr:rowOff>
    </xdr:to>
    <xdr:cxnSp macro="">
      <xdr:nvCxnSpPr>
        <xdr:cNvPr id="12818" name="line02">
          <a:extLst>
            <a:ext uri="{FF2B5EF4-FFF2-40B4-BE49-F238E27FC236}">
              <a16:creationId xmlns:a16="http://schemas.microsoft.com/office/drawing/2014/main" id="{E18F29E5-C00C-4598-A445-C6AA25C71D63}"/>
            </a:ext>
          </a:extLst>
        </xdr:cNvPr>
        <xdr:cNvCxnSpPr/>
      </xdr:nvCxnSpPr>
      <xdr:spPr>
        <a:xfrm flipV="1">
          <a:off x="2450410" y="600075"/>
          <a:ext cx="0" cy="214809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528927</xdr:colOff>
      <xdr:row>13</xdr:row>
      <xdr:rowOff>20845</xdr:rowOff>
    </xdr:from>
    <xdr:to>
      <xdr:col>3</xdr:col>
      <xdr:colOff>528927</xdr:colOff>
      <xdr:row>13</xdr:row>
      <xdr:rowOff>147845</xdr:rowOff>
    </xdr:to>
    <xdr:cxnSp macro="">
      <xdr:nvCxnSpPr>
        <xdr:cNvPr id="12819" name="line02">
          <a:extLst>
            <a:ext uri="{FF2B5EF4-FFF2-40B4-BE49-F238E27FC236}">
              <a16:creationId xmlns:a16="http://schemas.microsoft.com/office/drawing/2014/main" id="{6973E804-7C83-47F8-AA77-AE934E0CACDB}"/>
            </a:ext>
          </a:extLst>
        </xdr:cNvPr>
        <xdr:cNvCxnSpPr/>
      </xdr:nvCxnSpPr>
      <xdr:spPr>
        <a:xfrm flipV="1">
          <a:off x="2043402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574150</xdr:colOff>
      <xdr:row>13</xdr:row>
      <xdr:rowOff>20845</xdr:rowOff>
    </xdr:from>
    <xdr:to>
      <xdr:col>3</xdr:col>
      <xdr:colOff>574150</xdr:colOff>
      <xdr:row>13</xdr:row>
      <xdr:rowOff>147845</xdr:rowOff>
    </xdr:to>
    <xdr:cxnSp macro="">
      <xdr:nvCxnSpPr>
        <xdr:cNvPr id="12820" name="line02">
          <a:extLst>
            <a:ext uri="{FF2B5EF4-FFF2-40B4-BE49-F238E27FC236}">
              <a16:creationId xmlns:a16="http://schemas.microsoft.com/office/drawing/2014/main" id="{7C8433AD-AB82-4224-B706-8BE244A5A2A8}"/>
            </a:ext>
          </a:extLst>
        </xdr:cNvPr>
        <xdr:cNvCxnSpPr/>
      </xdr:nvCxnSpPr>
      <xdr:spPr>
        <a:xfrm flipV="1">
          <a:off x="2088625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38348</xdr:colOff>
      <xdr:row>13</xdr:row>
      <xdr:rowOff>20845</xdr:rowOff>
    </xdr:from>
    <xdr:to>
      <xdr:col>4</xdr:col>
      <xdr:colOff>38348</xdr:colOff>
      <xdr:row>13</xdr:row>
      <xdr:rowOff>147845</xdr:rowOff>
    </xdr:to>
    <xdr:cxnSp macro="">
      <xdr:nvCxnSpPr>
        <xdr:cNvPr id="12821" name="line02">
          <a:extLst>
            <a:ext uri="{FF2B5EF4-FFF2-40B4-BE49-F238E27FC236}">
              <a16:creationId xmlns:a16="http://schemas.microsoft.com/office/drawing/2014/main" id="{8A4A9DA0-F3DE-4132-B7F9-B5FD83542ACC}"/>
            </a:ext>
          </a:extLst>
        </xdr:cNvPr>
        <xdr:cNvCxnSpPr/>
      </xdr:nvCxnSpPr>
      <xdr:spPr>
        <a:xfrm flipV="1">
          <a:off x="2133848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83571</xdr:colOff>
      <xdr:row>13</xdr:row>
      <xdr:rowOff>20845</xdr:rowOff>
    </xdr:from>
    <xdr:to>
      <xdr:col>4</xdr:col>
      <xdr:colOff>83571</xdr:colOff>
      <xdr:row>13</xdr:row>
      <xdr:rowOff>147845</xdr:rowOff>
    </xdr:to>
    <xdr:cxnSp macro="">
      <xdr:nvCxnSpPr>
        <xdr:cNvPr id="12822" name="line02">
          <a:extLst>
            <a:ext uri="{FF2B5EF4-FFF2-40B4-BE49-F238E27FC236}">
              <a16:creationId xmlns:a16="http://schemas.microsoft.com/office/drawing/2014/main" id="{3127B819-E600-4C0D-8160-0444949C7125}"/>
            </a:ext>
          </a:extLst>
        </xdr:cNvPr>
        <xdr:cNvCxnSpPr/>
      </xdr:nvCxnSpPr>
      <xdr:spPr>
        <a:xfrm flipV="1">
          <a:off x="2179071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128795</xdr:colOff>
      <xdr:row>13</xdr:row>
      <xdr:rowOff>20845</xdr:rowOff>
    </xdr:from>
    <xdr:to>
      <xdr:col>4</xdr:col>
      <xdr:colOff>128795</xdr:colOff>
      <xdr:row>13</xdr:row>
      <xdr:rowOff>147845</xdr:rowOff>
    </xdr:to>
    <xdr:cxnSp macro="">
      <xdr:nvCxnSpPr>
        <xdr:cNvPr id="12823" name="line02">
          <a:extLst>
            <a:ext uri="{FF2B5EF4-FFF2-40B4-BE49-F238E27FC236}">
              <a16:creationId xmlns:a16="http://schemas.microsoft.com/office/drawing/2014/main" id="{901F87EB-0FFE-44B1-9307-A067BFFE87EA}"/>
            </a:ext>
          </a:extLst>
        </xdr:cNvPr>
        <xdr:cNvCxnSpPr/>
      </xdr:nvCxnSpPr>
      <xdr:spPr>
        <a:xfrm flipV="1">
          <a:off x="2224295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174018</xdr:colOff>
      <xdr:row>13</xdr:row>
      <xdr:rowOff>20845</xdr:rowOff>
    </xdr:from>
    <xdr:to>
      <xdr:col>4</xdr:col>
      <xdr:colOff>174018</xdr:colOff>
      <xdr:row>13</xdr:row>
      <xdr:rowOff>147845</xdr:rowOff>
    </xdr:to>
    <xdr:cxnSp macro="">
      <xdr:nvCxnSpPr>
        <xdr:cNvPr id="12824" name="line02">
          <a:extLst>
            <a:ext uri="{FF2B5EF4-FFF2-40B4-BE49-F238E27FC236}">
              <a16:creationId xmlns:a16="http://schemas.microsoft.com/office/drawing/2014/main" id="{A32F2A7F-20CD-4E27-9BC5-0C793D379879}"/>
            </a:ext>
          </a:extLst>
        </xdr:cNvPr>
        <xdr:cNvCxnSpPr/>
      </xdr:nvCxnSpPr>
      <xdr:spPr>
        <a:xfrm flipV="1">
          <a:off x="2269518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219241</xdr:colOff>
      <xdr:row>13</xdr:row>
      <xdr:rowOff>20845</xdr:rowOff>
    </xdr:from>
    <xdr:to>
      <xdr:col>4</xdr:col>
      <xdr:colOff>219241</xdr:colOff>
      <xdr:row>13</xdr:row>
      <xdr:rowOff>147845</xdr:rowOff>
    </xdr:to>
    <xdr:cxnSp macro="">
      <xdr:nvCxnSpPr>
        <xdr:cNvPr id="12825" name="line02">
          <a:extLst>
            <a:ext uri="{FF2B5EF4-FFF2-40B4-BE49-F238E27FC236}">
              <a16:creationId xmlns:a16="http://schemas.microsoft.com/office/drawing/2014/main" id="{7AA88436-EE24-42FF-9A32-451E11C3278A}"/>
            </a:ext>
          </a:extLst>
        </xdr:cNvPr>
        <xdr:cNvCxnSpPr/>
      </xdr:nvCxnSpPr>
      <xdr:spPr>
        <a:xfrm flipV="1">
          <a:off x="2314741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264464</xdr:colOff>
      <xdr:row>13</xdr:row>
      <xdr:rowOff>20845</xdr:rowOff>
    </xdr:from>
    <xdr:to>
      <xdr:col>4</xdr:col>
      <xdr:colOff>264464</xdr:colOff>
      <xdr:row>13</xdr:row>
      <xdr:rowOff>147845</xdr:rowOff>
    </xdr:to>
    <xdr:cxnSp macro="">
      <xdr:nvCxnSpPr>
        <xdr:cNvPr id="12826" name="line02">
          <a:extLst>
            <a:ext uri="{FF2B5EF4-FFF2-40B4-BE49-F238E27FC236}">
              <a16:creationId xmlns:a16="http://schemas.microsoft.com/office/drawing/2014/main" id="{B3269A74-0F38-4666-AE07-33C584756AC8}"/>
            </a:ext>
          </a:extLst>
        </xdr:cNvPr>
        <xdr:cNvCxnSpPr/>
      </xdr:nvCxnSpPr>
      <xdr:spPr>
        <a:xfrm flipV="1">
          <a:off x="2359964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309687</xdr:colOff>
      <xdr:row>13</xdr:row>
      <xdr:rowOff>20845</xdr:rowOff>
    </xdr:from>
    <xdr:to>
      <xdr:col>4</xdr:col>
      <xdr:colOff>309687</xdr:colOff>
      <xdr:row>13</xdr:row>
      <xdr:rowOff>147845</xdr:rowOff>
    </xdr:to>
    <xdr:cxnSp macro="">
      <xdr:nvCxnSpPr>
        <xdr:cNvPr id="12827" name="line02">
          <a:extLst>
            <a:ext uri="{FF2B5EF4-FFF2-40B4-BE49-F238E27FC236}">
              <a16:creationId xmlns:a16="http://schemas.microsoft.com/office/drawing/2014/main" id="{1E4BEE63-DCCE-4699-A68A-31712B527ED7}"/>
            </a:ext>
          </a:extLst>
        </xdr:cNvPr>
        <xdr:cNvCxnSpPr/>
      </xdr:nvCxnSpPr>
      <xdr:spPr>
        <a:xfrm flipV="1">
          <a:off x="2405187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13</xdr:row>
      <xdr:rowOff>20845</xdr:rowOff>
    </xdr:from>
    <xdr:to>
      <xdr:col>4</xdr:col>
      <xdr:colOff>354910</xdr:colOff>
      <xdr:row>13</xdr:row>
      <xdr:rowOff>147845</xdr:rowOff>
    </xdr:to>
    <xdr:cxnSp macro="">
      <xdr:nvCxnSpPr>
        <xdr:cNvPr id="12828" name="line02">
          <a:extLst>
            <a:ext uri="{FF2B5EF4-FFF2-40B4-BE49-F238E27FC236}">
              <a16:creationId xmlns:a16="http://schemas.microsoft.com/office/drawing/2014/main" id="{9FAFA555-D142-46AD-94F3-7FD5BBB8A642}"/>
            </a:ext>
          </a:extLst>
        </xdr:cNvPr>
        <xdr:cNvCxnSpPr/>
      </xdr:nvCxnSpPr>
      <xdr:spPr>
        <a:xfrm flipV="1">
          <a:off x="2450410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15</xdr:row>
      <xdr:rowOff>73025</xdr:rowOff>
    </xdr:from>
    <xdr:to>
      <xdr:col>3</xdr:col>
      <xdr:colOff>257589</xdr:colOff>
      <xdr:row>16</xdr:row>
      <xdr:rowOff>0</xdr:rowOff>
    </xdr:to>
    <xdr:cxnSp macro="">
      <xdr:nvCxnSpPr>
        <xdr:cNvPr id="12829" name="line02">
          <a:extLst>
            <a:ext uri="{FF2B5EF4-FFF2-40B4-BE49-F238E27FC236}">
              <a16:creationId xmlns:a16="http://schemas.microsoft.com/office/drawing/2014/main" id="{77D21ECF-E691-4B27-8D32-25A18B803B78}"/>
            </a:ext>
          </a:extLst>
        </xdr:cNvPr>
        <xdr:cNvCxnSpPr/>
      </xdr:nvCxnSpPr>
      <xdr:spPr>
        <a:xfrm flipV="1">
          <a:off x="1772064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348035</xdr:colOff>
      <xdr:row>15</xdr:row>
      <xdr:rowOff>73025</xdr:rowOff>
    </xdr:from>
    <xdr:to>
      <xdr:col>3</xdr:col>
      <xdr:colOff>348035</xdr:colOff>
      <xdr:row>16</xdr:row>
      <xdr:rowOff>0</xdr:rowOff>
    </xdr:to>
    <xdr:cxnSp macro="">
      <xdr:nvCxnSpPr>
        <xdr:cNvPr id="12830" name="line02">
          <a:extLst>
            <a:ext uri="{FF2B5EF4-FFF2-40B4-BE49-F238E27FC236}">
              <a16:creationId xmlns:a16="http://schemas.microsoft.com/office/drawing/2014/main" id="{5B89315A-ABC5-4DFD-97EF-20E2A9473C6A}"/>
            </a:ext>
          </a:extLst>
        </xdr:cNvPr>
        <xdr:cNvCxnSpPr/>
      </xdr:nvCxnSpPr>
      <xdr:spPr>
        <a:xfrm flipV="1">
          <a:off x="1862510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438481</xdr:colOff>
      <xdr:row>15</xdr:row>
      <xdr:rowOff>73025</xdr:rowOff>
    </xdr:from>
    <xdr:to>
      <xdr:col>3</xdr:col>
      <xdr:colOff>438481</xdr:colOff>
      <xdr:row>16</xdr:row>
      <xdr:rowOff>0</xdr:rowOff>
    </xdr:to>
    <xdr:cxnSp macro="">
      <xdr:nvCxnSpPr>
        <xdr:cNvPr id="12831" name="line02">
          <a:extLst>
            <a:ext uri="{FF2B5EF4-FFF2-40B4-BE49-F238E27FC236}">
              <a16:creationId xmlns:a16="http://schemas.microsoft.com/office/drawing/2014/main" id="{3EFE835E-31F6-40C4-A9F2-E96C8FEC0697}"/>
            </a:ext>
          </a:extLst>
        </xdr:cNvPr>
        <xdr:cNvCxnSpPr/>
      </xdr:nvCxnSpPr>
      <xdr:spPr>
        <a:xfrm flipV="1">
          <a:off x="1952956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528927</xdr:colOff>
      <xdr:row>15</xdr:row>
      <xdr:rowOff>73025</xdr:rowOff>
    </xdr:from>
    <xdr:to>
      <xdr:col>3</xdr:col>
      <xdr:colOff>528927</xdr:colOff>
      <xdr:row>16</xdr:row>
      <xdr:rowOff>0</xdr:rowOff>
    </xdr:to>
    <xdr:cxnSp macro="">
      <xdr:nvCxnSpPr>
        <xdr:cNvPr id="12832" name="line02">
          <a:extLst>
            <a:ext uri="{FF2B5EF4-FFF2-40B4-BE49-F238E27FC236}">
              <a16:creationId xmlns:a16="http://schemas.microsoft.com/office/drawing/2014/main" id="{FE64767D-A021-485A-A4C5-F2057139ABEA}"/>
            </a:ext>
          </a:extLst>
        </xdr:cNvPr>
        <xdr:cNvCxnSpPr/>
      </xdr:nvCxnSpPr>
      <xdr:spPr>
        <a:xfrm flipV="1">
          <a:off x="2043402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38348</xdr:colOff>
      <xdr:row>15</xdr:row>
      <xdr:rowOff>73025</xdr:rowOff>
    </xdr:from>
    <xdr:to>
      <xdr:col>4</xdr:col>
      <xdr:colOff>38348</xdr:colOff>
      <xdr:row>16</xdr:row>
      <xdr:rowOff>0</xdr:rowOff>
    </xdr:to>
    <xdr:cxnSp macro="">
      <xdr:nvCxnSpPr>
        <xdr:cNvPr id="12833" name="line02">
          <a:extLst>
            <a:ext uri="{FF2B5EF4-FFF2-40B4-BE49-F238E27FC236}">
              <a16:creationId xmlns:a16="http://schemas.microsoft.com/office/drawing/2014/main" id="{AE0BB1E7-EA5B-45F0-B02A-640A9F567621}"/>
            </a:ext>
          </a:extLst>
        </xdr:cNvPr>
        <xdr:cNvCxnSpPr/>
      </xdr:nvCxnSpPr>
      <xdr:spPr>
        <a:xfrm flipV="1">
          <a:off x="2133848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128795</xdr:colOff>
      <xdr:row>15</xdr:row>
      <xdr:rowOff>73025</xdr:rowOff>
    </xdr:from>
    <xdr:to>
      <xdr:col>4</xdr:col>
      <xdr:colOff>128795</xdr:colOff>
      <xdr:row>16</xdr:row>
      <xdr:rowOff>0</xdr:rowOff>
    </xdr:to>
    <xdr:cxnSp macro="">
      <xdr:nvCxnSpPr>
        <xdr:cNvPr id="12834" name="line02">
          <a:extLst>
            <a:ext uri="{FF2B5EF4-FFF2-40B4-BE49-F238E27FC236}">
              <a16:creationId xmlns:a16="http://schemas.microsoft.com/office/drawing/2014/main" id="{244109A9-C470-484A-9FEE-63967E5233A7}"/>
            </a:ext>
          </a:extLst>
        </xdr:cNvPr>
        <xdr:cNvCxnSpPr/>
      </xdr:nvCxnSpPr>
      <xdr:spPr>
        <a:xfrm flipV="1">
          <a:off x="2224295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219241</xdr:colOff>
      <xdr:row>15</xdr:row>
      <xdr:rowOff>73025</xdr:rowOff>
    </xdr:from>
    <xdr:to>
      <xdr:col>4</xdr:col>
      <xdr:colOff>219241</xdr:colOff>
      <xdr:row>16</xdr:row>
      <xdr:rowOff>0</xdr:rowOff>
    </xdr:to>
    <xdr:cxnSp macro="">
      <xdr:nvCxnSpPr>
        <xdr:cNvPr id="12835" name="line02">
          <a:extLst>
            <a:ext uri="{FF2B5EF4-FFF2-40B4-BE49-F238E27FC236}">
              <a16:creationId xmlns:a16="http://schemas.microsoft.com/office/drawing/2014/main" id="{FD56A033-D7B6-4371-A3EB-4FEDEB2F69D4}"/>
            </a:ext>
          </a:extLst>
        </xdr:cNvPr>
        <xdr:cNvCxnSpPr/>
      </xdr:nvCxnSpPr>
      <xdr:spPr>
        <a:xfrm flipV="1">
          <a:off x="2314741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309687</xdr:colOff>
      <xdr:row>15</xdr:row>
      <xdr:rowOff>73025</xdr:rowOff>
    </xdr:from>
    <xdr:to>
      <xdr:col>4</xdr:col>
      <xdr:colOff>309687</xdr:colOff>
      <xdr:row>16</xdr:row>
      <xdr:rowOff>0</xdr:rowOff>
    </xdr:to>
    <xdr:cxnSp macro="">
      <xdr:nvCxnSpPr>
        <xdr:cNvPr id="12836" name="line02">
          <a:extLst>
            <a:ext uri="{FF2B5EF4-FFF2-40B4-BE49-F238E27FC236}">
              <a16:creationId xmlns:a16="http://schemas.microsoft.com/office/drawing/2014/main" id="{7C3DC297-1BF2-4097-92C4-5FEA663027F6}"/>
            </a:ext>
          </a:extLst>
        </xdr:cNvPr>
        <xdr:cNvCxnSpPr/>
      </xdr:nvCxnSpPr>
      <xdr:spPr>
        <a:xfrm flipV="1">
          <a:off x="2405187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400133</xdr:colOff>
      <xdr:row>15</xdr:row>
      <xdr:rowOff>73025</xdr:rowOff>
    </xdr:from>
    <xdr:to>
      <xdr:col>4</xdr:col>
      <xdr:colOff>400133</xdr:colOff>
      <xdr:row>16</xdr:row>
      <xdr:rowOff>0</xdr:rowOff>
    </xdr:to>
    <xdr:cxnSp macro="">
      <xdr:nvCxnSpPr>
        <xdr:cNvPr id="12837" name="line02">
          <a:extLst>
            <a:ext uri="{FF2B5EF4-FFF2-40B4-BE49-F238E27FC236}">
              <a16:creationId xmlns:a16="http://schemas.microsoft.com/office/drawing/2014/main" id="{43F598FB-3076-4D66-AD4E-B48D0C9729EB}"/>
            </a:ext>
          </a:extLst>
        </xdr:cNvPr>
        <xdr:cNvCxnSpPr/>
      </xdr:nvCxnSpPr>
      <xdr:spPr>
        <a:xfrm flipV="1">
          <a:off x="2495633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490579</xdr:colOff>
      <xdr:row>15</xdr:row>
      <xdr:rowOff>73025</xdr:rowOff>
    </xdr:from>
    <xdr:to>
      <xdr:col>4</xdr:col>
      <xdr:colOff>490579</xdr:colOff>
      <xdr:row>16</xdr:row>
      <xdr:rowOff>0</xdr:rowOff>
    </xdr:to>
    <xdr:cxnSp macro="">
      <xdr:nvCxnSpPr>
        <xdr:cNvPr id="12838" name="line02">
          <a:extLst>
            <a:ext uri="{FF2B5EF4-FFF2-40B4-BE49-F238E27FC236}">
              <a16:creationId xmlns:a16="http://schemas.microsoft.com/office/drawing/2014/main" id="{4FD2FF34-54EA-44D2-8B93-D04F3BCD63B3}"/>
            </a:ext>
          </a:extLst>
        </xdr:cNvPr>
        <xdr:cNvCxnSpPr/>
      </xdr:nvCxnSpPr>
      <xdr:spPr>
        <a:xfrm flipV="1">
          <a:off x="2586079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15</xdr:row>
      <xdr:rowOff>73025</xdr:rowOff>
    </xdr:from>
    <xdr:to>
      <xdr:col>5</xdr:col>
      <xdr:colOff>0</xdr:colOff>
      <xdr:row>16</xdr:row>
      <xdr:rowOff>0</xdr:rowOff>
    </xdr:to>
    <xdr:cxnSp macro="">
      <xdr:nvCxnSpPr>
        <xdr:cNvPr id="12839" name="line02">
          <a:extLst>
            <a:ext uri="{FF2B5EF4-FFF2-40B4-BE49-F238E27FC236}">
              <a16:creationId xmlns:a16="http://schemas.microsoft.com/office/drawing/2014/main" id="{E6D3A682-FD2C-4B5D-BFB0-15474124F776}"/>
            </a:ext>
          </a:extLst>
        </xdr:cNvPr>
        <xdr:cNvCxnSpPr/>
      </xdr:nvCxnSpPr>
      <xdr:spPr>
        <a:xfrm flipV="1">
          <a:off x="2676525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16</xdr:row>
      <xdr:rowOff>0</xdr:rowOff>
    </xdr:to>
    <xdr:cxnSp macro="">
      <xdr:nvCxnSpPr>
        <xdr:cNvPr id="12840" name="line02">
          <a:extLst>
            <a:ext uri="{FF2B5EF4-FFF2-40B4-BE49-F238E27FC236}">
              <a16:creationId xmlns:a16="http://schemas.microsoft.com/office/drawing/2014/main" id="{138D5B63-0B10-479D-8FD9-DEB30E66FBE8}"/>
            </a:ext>
          </a:extLst>
        </xdr:cNvPr>
        <xdr:cNvCxnSpPr/>
      </xdr:nvCxnSpPr>
      <xdr:spPr>
        <a:xfrm flipV="1">
          <a:off x="3311525" y="600075"/>
          <a:ext cx="0" cy="26003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3</xdr:row>
      <xdr:rowOff>0</xdr:rowOff>
    </xdr:from>
    <xdr:to>
      <xdr:col>5</xdr:col>
      <xdr:colOff>317500</xdr:colOff>
      <xdr:row>16</xdr:row>
      <xdr:rowOff>0</xdr:rowOff>
    </xdr:to>
    <xdr:cxnSp macro="">
      <xdr:nvCxnSpPr>
        <xdr:cNvPr id="12841" name="line02">
          <a:extLst>
            <a:ext uri="{FF2B5EF4-FFF2-40B4-BE49-F238E27FC236}">
              <a16:creationId xmlns:a16="http://schemas.microsoft.com/office/drawing/2014/main" id="{1930659A-A28C-459B-AEF1-605623014399}"/>
            </a:ext>
          </a:extLst>
        </xdr:cNvPr>
        <xdr:cNvCxnSpPr/>
      </xdr:nvCxnSpPr>
      <xdr:spPr>
        <a:xfrm flipV="1">
          <a:off x="2994025" y="600075"/>
          <a:ext cx="0" cy="26003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13</xdr:row>
      <xdr:rowOff>147845</xdr:rowOff>
    </xdr:from>
    <xdr:to>
      <xdr:col>5</xdr:col>
      <xdr:colOff>317500</xdr:colOff>
      <xdr:row>13</xdr:row>
      <xdr:rowOff>147845</xdr:rowOff>
    </xdr:to>
    <xdr:cxnSp macro="">
      <xdr:nvCxnSpPr>
        <xdr:cNvPr id="12842" name="line02">
          <a:extLst>
            <a:ext uri="{FF2B5EF4-FFF2-40B4-BE49-F238E27FC236}">
              <a16:creationId xmlns:a16="http://schemas.microsoft.com/office/drawing/2014/main" id="{83F2D844-D71C-40F7-9152-9405E55048ED}"/>
            </a:ext>
          </a:extLst>
        </xdr:cNvPr>
        <xdr:cNvCxnSpPr/>
      </xdr:nvCxnSpPr>
      <xdr:spPr>
        <a:xfrm>
          <a:off x="2740025" y="2748170"/>
          <a:ext cx="254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53975</xdr:colOff>
      <xdr:row>16</xdr:row>
      <xdr:rowOff>0</xdr:rowOff>
    </xdr:to>
    <xdr:cxnSp macro="">
      <xdr:nvCxnSpPr>
        <xdr:cNvPr id="12843" name="line02">
          <a:extLst>
            <a:ext uri="{FF2B5EF4-FFF2-40B4-BE49-F238E27FC236}">
              <a16:creationId xmlns:a16="http://schemas.microsoft.com/office/drawing/2014/main" id="{3DB0B3D0-E6A3-4149-980E-9C3B3F40EE6A}"/>
            </a:ext>
          </a:extLst>
        </xdr:cNvPr>
        <xdr:cNvCxnSpPr/>
      </xdr:nvCxnSpPr>
      <xdr:spPr>
        <a:xfrm>
          <a:off x="2740025" y="3200400"/>
          <a:ext cx="571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17</xdr:row>
      <xdr:rowOff>66675</xdr:rowOff>
    </xdr:from>
    <xdr:to>
      <xdr:col>5</xdr:col>
      <xdr:colOff>0</xdr:colOff>
      <xdr:row>17</xdr:row>
      <xdr:rowOff>66675</xdr:rowOff>
    </xdr:to>
    <xdr:cxnSp macro="">
      <xdr:nvCxnSpPr>
        <xdr:cNvPr id="12844" name="line02">
          <a:extLst>
            <a:ext uri="{FF2B5EF4-FFF2-40B4-BE49-F238E27FC236}">
              <a16:creationId xmlns:a16="http://schemas.microsoft.com/office/drawing/2014/main" id="{20C674C9-472A-45F2-9AD9-826B91ADC7BA}"/>
            </a:ext>
          </a:extLst>
        </xdr:cNvPr>
        <xdr:cNvCxnSpPr/>
      </xdr:nvCxnSpPr>
      <xdr:spPr>
        <a:xfrm>
          <a:off x="1772064" y="3467100"/>
          <a:ext cx="904461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16</xdr:row>
      <xdr:rowOff>38100</xdr:rowOff>
    </xdr:from>
    <xdr:to>
      <xdr:col>3</xdr:col>
      <xdr:colOff>257589</xdr:colOff>
      <xdr:row>17</xdr:row>
      <xdr:rowOff>79375</xdr:rowOff>
    </xdr:to>
    <xdr:cxnSp macro="">
      <xdr:nvCxnSpPr>
        <xdr:cNvPr id="12845" name="line02">
          <a:extLst>
            <a:ext uri="{FF2B5EF4-FFF2-40B4-BE49-F238E27FC236}">
              <a16:creationId xmlns:a16="http://schemas.microsoft.com/office/drawing/2014/main" id="{5507FA2D-4CFF-4D01-893A-858CBAB2C3E5}"/>
            </a:ext>
          </a:extLst>
        </xdr:cNvPr>
        <xdr:cNvCxnSpPr/>
      </xdr:nvCxnSpPr>
      <xdr:spPr>
        <a:xfrm flipV="1">
          <a:off x="1772064" y="3238500"/>
          <a:ext cx="0" cy="2413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79375</xdr:rowOff>
    </xdr:to>
    <xdr:cxnSp macro="">
      <xdr:nvCxnSpPr>
        <xdr:cNvPr id="12846" name="line02">
          <a:extLst>
            <a:ext uri="{FF2B5EF4-FFF2-40B4-BE49-F238E27FC236}">
              <a16:creationId xmlns:a16="http://schemas.microsoft.com/office/drawing/2014/main" id="{94AB5377-B2C5-410F-BB1F-CB48BD6EB4DC}"/>
            </a:ext>
          </a:extLst>
        </xdr:cNvPr>
        <xdr:cNvCxnSpPr/>
      </xdr:nvCxnSpPr>
      <xdr:spPr>
        <a:xfrm flipV="1">
          <a:off x="2676525" y="3238500"/>
          <a:ext cx="0" cy="2413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127000</xdr:colOff>
      <xdr:row>9</xdr:row>
      <xdr:rowOff>185945</xdr:rowOff>
    </xdr:from>
    <xdr:to>
      <xdr:col>5</xdr:col>
      <xdr:colOff>381000</xdr:colOff>
      <xdr:row>13</xdr:row>
      <xdr:rowOff>147845</xdr:rowOff>
    </xdr:to>
    <xdr:sp macro="" textlink="">
      <xdr:nvSpPr>
        <xdr:cNvPr id="12847" name="textboxDf">
          <a:extLst>
            <a:ext uri="{FF2B5EF4-FFF2-40B4-BE49-F238E27FC236}">
              <a16:creationId xmlns:a16="http://schemas.microsoft.com/office/drawing/2014/main" id="{5CB45C1A-D536-4515-9966-10439C14E04B}"/>
            </a:ext>
          </a:extLst>
        </xdr:cNvPr>
        <xdr:cNvSpPr txBox="1"/>
      </xdr:nvSpPr>
      <xdr:spPr>
        <a:xfrm rot="16200000">
          <a:off x="2549525" y="224017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df=9500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254000</xdr:colOff>
      <xdr:row>9</xdr:row>
      <xdr:rowOff>130175</xdr:rowOff>
    </xdr:from>
    <xdr:to>
      <xdr:col>5</xdr:col>
      <xdr:colOff>508000</xdr:colOff>
      <xdr:row>16</xdr:row>
      <xdr:rowOff>0</xdr:rowOff>
    </xdr:to>
    <xdr:sp macro="" textlink="">
      <xdr:nvSpPr>
        <xdr:cNvPr id="12848" name="textboxDf">
          <a:extLst>
            <a:ext uri="{FF2B5EF4-FFF2-40B4-BE49-F238E27FC236}">
              <a16:creationId xmlns:a16="http://schemas.microsoft.com/office/drawing/2014/main" id="{6C15FE8E-DB6A-4303-ACF7-13BB237469CE}"/>
            </a:ext>
          </a:extLst>
        </xdr:cNvPr>
        <xdr:cNvSpPr txBox="1"/>
      </xdr:nvSpPr>
      <xdr:spPr>
        <a:xfrm rot="16200000">
          <a:off x="2422525" y="2438400"/>
          <a:ext cx="127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h-df=2000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412750</xdr:colOff>
      <xdr:row>5</xdr:row>
      <xdr:rowOff>9525</xdr:rowOff>
    </xdr:from>
    <xdr:to>
      <xdr:col>6</xdr:col>
      <xdr:colOff>85725</xdr:colOff>
      <xdr:row>9</xdr:row>
      <xdr:rowOff>34925</xdr:rowOff>
    </xdr:to>
    <xdr:sp macro="" textlink="">
      <xdr:nvSpPr>
        <xdr:cNvPr id="12849" name="textboxB">
          <a:extLst>
            <a:ext uri="{FF2B5EF4-FFF2-40B4-BE49-F238E27FC236}">
              <a16:creationId xmlns:a16="http://schemas.microsoft.com/office/drawing/2014/main" id="{673BD647-0347-4D42-A8A3-7E2F62EA00FD}"/>
            </a:ext>
          </a:extLst>
        </xdr:cNvPr>
        <xdr:cNvSpPr txBox="1"/>
      </xdr:nvSpPr>
      <xdr:spPr>
        <a:xfrm rot="16200000">
          <a:off x="2803525" y="1295400"/>
          <a:ext cx="8255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H=11500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228600</xdr:colOff>
      <xdr:row>16</xdr:row>
      <xdr:rowOff>63500</xdr:rowOff>
    </xdr:from>
    <xdr:to>
      <xdr:col>5</xdr:col>
      <xdr:colOff>390525</xdr:colOff>
      <xdr:row>17</xdr:row>
      <xdr:rowOff>117475</xdr:rowOff>
    </xdr:to>
    <xdr:sp macro="" textlink="">
      <xdr:nvSpPr>
        <xdr:cNvPr id="12850" name="textboxl">
          <a:extLst>
            <a:ext uri="{FF2B5EF4-FFF2-40B4-BE49-F238E27FC236}">
              <a16:creationId xmlns:a16="http://schemas.microsoft.com/office/drawing/2014/main" id="{6FB13C6E-10FD-46DD-A221-9334D79715CF}"/>
            </a:ext>
          </a:extLst>
        </xdr:cNvPr>
        <xdr:cNvSpPr txBox="1"/>
      </xdr:nvSpPr>
      <xdr:spPr>
        <a:xfrm>
          <a:off x="1162050" y="32639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L+H-Df=4000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455820</xdr:colOff>
      <xdr:row>11</xdr:row>
      <xdr:rowOff>166895</xdr:rowOff>
    </xdr:from>
    <xdr:to>
      <xdr:col>5</xdr:col>
      <xdr:colOff>563770</xdr:colOff>
      <xdr:row>13</xdr:row>
      <xdr:rowOff>20845</xdr:rowOff>
    </xdr:to>
    <xdr:sp macro="" textlink="">
      <xdr:nvSpPr>
        <xdr:cNvPr id="12851" name="textboxl">
          <a:extLst>
            <a:ext uri="{FF2B5EF4-FFF2-40B4-BE49-F238E27FC236}">
              <a16:creationId xmlns:a16="http://schemas.microsoft.com/office/drawing/2014/main" id="{6AEF86E2-9F7A-4B76-9538-74F8CF4D1720}"/>
            </a:ext>
          </a:extLst>
        </xdr:cNvPr>
        <xdr:cNvSpPr txBox="1"/>
      </xdr:nvSpPr>
      <xdr:spPr>
        <a:xfrm>
          <a:off x="1970295" y="2367170"/>
          <a:ext cx="127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L=2000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355600</xdr:colOff>
      <xdr:row>17</xdr:row>
      <xdr:rowOff>15875</xdr:rowOff>
    </xdr:from>
    <xdr:to>
      <xdr:col>5</xdr:col>
      <xdr:colOff>517525</xdr:colOff>
      <xdr:row>18</xdr:row>
      <xdr:rowOff>69850</xdr:rowOff>
    </xdr:to>
    <xdr:sp macro="" textlink="">
      <xdr:nvSpPr>
        <xdr:cNvPr id="12852" name="textboxl">
          <a:extLst>
            <a:ext uri="{FF2B5EF4-FFF2-40B4-BE49-F238E27FC236}">
              <a16:creationId xmlns:a16="http://schemas.microsoft.com/office/drawing/2014/main" id="{A1EF67E9-7E12-4AA2-9790-83679BBF7164}"/>
            </a:ext>
          </a:extLst>
        </xdr:cNvPr>
        <xdr:cNvSpPr txBox="1"/>
      </xdr:nvSpPr>
      <xdr:spPr>
        <a:xfrm>
          <a:off x="1289050" y="34163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B+H-Df=3000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455820</xdr:colOff>
      <xdr:row>13</xdr:row>
      <xdr:rowOff>147845</xdr:rowOff>
    </xdr:from>
    <xdr:to>
      <xdr:col>5</xdr:col>
      <xdr:colOff>563770</xdr:colOff>
      <xdr:row>15</xdr:row>
      <xdr:rowOff>1795</xdr:rowOff>
    </xdr:to>
    <xdr:sp macro="" textlink="">
      <xdr:nvSpPr>
        <xdr:cNvPr id="12853" name="textboxl">
          <a:extLst>
            <a:ext uri="{FF2B5EF4-FFF2-40B4-BE49-F238E27FC236}">
              <a16:creationId xmlns:a16="http://schemas.microsoft.com/office/drawing/2014/main" id="{EF4351CC-B403-414E-BDBE-78965188A94C}"/>
            </a:ext>
          </a:extLst>
        </xdr:cNvPr>
        <xdr:cNvSpPr txBox="1"/>
      </xdr:nvSpPr>
      <xdr:spPr>
        <a:xfrm>
          <a:off x="1970295" y="2748170"/>
          <a:ext cx="127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B=1000</a:t>
          </a:r>
          <a:endParaRPr kumimoji="1" lang="ja-JP" altLang="en-US" sz="1100"/>
        </a:p>
      </xdr:txBody>
    </xdr:sp>
    <xdr:clientData/>
  </xdr:twoCellAnchor>
  <xdr:twoCellAnchor>
    <xdr:from>
      <xdr:col>4</xdr:col>
      <xdr:colOff>467967</xdr:colOff>
      <xdr:row>13</xdr:row>
      <xdr:rowOff>147845</xdr:rowOff>
    </xdr:from>
    <xdr:to>
      <xdr:col>5</xdr:col>
      <xdr:colOff>0</xdr:colOff>
      <xdr:row>13</xdr:row>
      <xdr:rowOff>147845</xdr:rowOff>
    </xdr:to>
    <xdr:cxnSp macro="">
      <xdr:nvCxnSpPr>
        <xdr:cNvPr id="12854" name="line02">
          <a:extLst>
            <a:ext uri="{FF2B5EF4-FFF2-40B4-BE49-F238E27FC236}">
              <a16:creationId xmlns:a16="http://schemas.microsoft.com/office/drawing/2014/main" id="{D1A571A9-6697-41B2-A2EB-B265EB92EDEA}"/>
            </a:ext>
          </a:extLst>
        </xdr:cNvPr>
        <xdr:cNvCxnSpPr/>
      </xdr:nvCxnSpPr>
      <xdr:spPr>
        <a:xfrm flipH="1">
          <a:off x="2563467" y="2748170"/>
          <a:ext cx="113058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13</xdr:row>
      <xdr:rowOff>147845</xdr:rowOff>
    </xdr:from>
    <xdr:to>
      <xdr:col>5</xdr:col>
      <xdr:colOff>0</xdr:colOff>
      <xdr:row>14</xdr:row>
      <xdr:rowOff>173935</xdr:rowOff>
    </xdr:to>
    <xdr:cxnSp macro="">
      <xdr:nvCxnSpPr>
        <xdr:cNvPr id="12855" name="line02">
          <a:extLst>
            <a:ext uri="{FF2B5EF4-FFF2-40B4-BE49-F238E27FC236}">
              <a16:creationId xmlns:a16="http://schemas.microsoft.com/office/drawing/2014/main" id="{825ED89B-D890-4967-8580-7E248ECE106B}"/>
            </a:ext>
          </a:extLst>
        </xdr:cNvPr>
        <xdr:cNvCxnSpPr/>
      </xdr:nvCxnSpPr>
      <xdr:spPr>
        <a:xfrm>
          <a:off x="2676525" y="2748170"/>
          <a:ext cx="0" cy="22611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467967</xdr:colOff>
      <xdr:row>13</xdr:row>
      <xdr:rowOff>147845</xdr:rowOff>
    </xdr:from>
    <xdr:to>
      <xdr:col>5</xdr:col>
      <xdr:colOff>0</xdr:colOff>
      <xdr:row>14</xdr:row>
      <xdr:rowOff>173935</xdr:rowOff>
    </xdr:to>
    <xdr:cxnSp macro="">
      <xdr:nvCxnSpPr>
        <xdr:cNvPr id="12856" name="line02">
          <a:extLst>
            <a:ext uri="{FF2B5EF4-FFF2-40B4-BE49-F238E27FC236}">
              <a16:creationId xmlns:a16="http://schemas.microsoft.com/office/drawing/2014/main" id="{C5D4424D-1183-47E9-AA4F-299A7D0118C0}"/>
            </a:ext>
          </a:extLst>
        </xdr:cNvPr>
        <xdr:cNvCxnSpPr/>
      </xdr:nvCxnSpPr>
      <xdr:spPr>
        <a:xfrm flipH="1" flipV="1">
          <a:off x="2563467" y="2748170"/>
          <a:ext cx="113058" cy="22611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517525</xdr:colOff>
      <xdr:row>14</xdr:row>
      <xdr:rowOff>11320</xdr:rowOff>
    </xdr:from>
    <xdr:to>
      <xdr:col>5</xdr:col>
      <xdr:colOff>190500</xdr:colOff>
      <xdr:row>15</xdr:row>
      <xdr:rowOff>65295</xdr:rowOff>
    </xdr:to>
    <xdr:sp macro="" textlink="">
      <xdr:nvSpPr>
        <xdr:cNvPr id="12857" name="textbox2">
          <a:extLst>
            <a:ext uri="{FF2B5EF4-FFF2-40B4-BE49-F238E27FC236}">
              <a16:creationId xmlns:a16="http://schemas.microsoft.com/office/drawing/2014/main" id="{24C80AD4-1241-4E96-8D26-7FE82159D6AD}"/>
            </a:ext>
          </a:extLst>
        </xdr:cNvPr>
        <xdr:cNvSpPr txBox="1"/>
      </xdr:nvSpPr>
      <xdr:spPr>
        <a:xfrm>
          <a:off x="2613025" y="2811670"/>
          <a:ext cx="25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4</xdr:col>
      <xdr:colOff>390525</xdr:colOff>
      <xdr:row>12</xdr:row>
      <xdr:rowOff>157370</xdr:rowOff>
    </xdr:from>
    <xdr:to>
      <xdr:col>5</xdr:col>
      <xdr:colOff>63500</xdr:colOff>
      <xdr:row>14</xdr:row>
      <xdr:rowOff>11320</xdr:rowOff>
    </xdr:to>
    <xdr:sp macro="" textlink="">
      <xdr:nvSpPr>
        <xdr:cNvPr id="12858" name="textbox2">
          <a:extLst>
            <a:ext uri="{FF2B5EF4-FFF2-40B4-BE49-F238E27FC236}">
              <a16:creationId xmlns:a16="http://schemas.microsoft.com/office/drawing/2014/main" id="{EB7380E2-1A6A-4D86-82E8-61BF7DD6E40D}"/>
            </a:ext>
          </a:extLst>
        </xdr:cNvPr>
        <xdr:cNvSpPr txBox="1"/>
      </xdr:nvSpPr>
      <xdr:spPr>
        <a:xfrm>
          <a:off x="2486025" y="2557670"/>
          <a:ext cx="25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113058</xdr:colOff>
      <xdr:row>16</xdr:row>
      <xdr:rowOff>0</xdr:rowOff>
    </xdr:to>
    <xdr:cxnSp macro="">
      <xdr:nvCxnSpPr>
        <xdr:cNvPr id="12859" name="line02">
          <a:extLst>
            <a:ext uri="{FF2B5EF4-FFF2-40B4-BE49-F238E27FC236}">
              <a16:creationId xmlns:a16="http://schemas.microsoft.com/office/drawing/2014/main" id="{8884FAB3-EE92-4B01-98C0-B0344FEC7F77}"/>
            </a:ext>
          </a:extLst>
        </xdr:cNvPr>
        <xdr:cNvCxnSpPr/>
      </xdr:nvCxnSpPr>
      <xdr:spPr>
        <a:xfrm>
          <a:off x="352425" y="3200400"/>
          <a:ext cx="113058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14</xdr:row>
      <xdr:rowOff>184150</xdr:rowOff>
    </xdr:from>
    <xdr:to>
      <xdr:col>2</xdr:col>
      <xdr:colOff>53975</xdr:colOff>
      <xdr:row>16</xdr:row>
      <xdr:rowOff>38100</xdr:rowOff>
    </xdr:to>
    <xdr:sp macro="" textlink="">
      <xdr:nvSpPr>
        <xdr:cNvPr id="12860" name="textbox01">
          <a:extLst>
            <a:ext uri="{FF2B5EF4-FFF2-40B4-BE49-F238E27FC236}">
              <a16:creationId xmlns:a16="http://schemas.microsoft.com/office/drawing/2014/main" id="{84997503-02C9-42FD-A7F2-CB858B4B241F}"/>
            </a:ext>
          </a:extLst>
        </xdr:cNvPr>
        <xdr:cNvSpPr txBox="1"/>
      </xdr:nvSpPr>
      <xdr:spPr>
        <a:xfrm>
          <a:off x="352425" y="29845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▽WL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7B00-A2B4-4B60-B73D-D3BF4FB1560A}">
  <sheetPr codeName="Sheet1"/>
  <dimension ref="A1:T52"/>
  <sheetViews>
    <sheetView topLeftCell="A7" workbookViewId="0">
      <selection activeCell="E40" sqref="E40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</v>
      </c>
      <c r="K4" s="18" t="s">
        <v>46</v>
      </c>
    </row>
    <row r="5" spans="1:20" x14ac:dyDescent="0.25">
      <c r="A5" s="9"/>
      <c r="B5" s="9"/>
      <c r="C5" s="13"/>
      <c r="D5" s="13"/>
      <c r="E5" s="13"/>
      <c r="F5" s="13"/>
      <c r="J5" s="16" t="s">
        <v>6</v>
      </c>
      <c r="K5" s="17">
        <v>2</v>
      </c>
    </row>
    <row r="6" spans="1:20" x14ac:dyDescent="0.25">
      <c r="A6" s="9"/>
      <c r="B6" s="9"/>
      <c r="C6" s="13"/>
      <c r="D6" s="13"/>
      <c r="E6" s="13"/>
      <c r="F6" s="14"/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IF(K4="砂質土",ROUND(SQRT(20*K5)+15,0),0)</f>
        <v>0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IF(K4="砂質土",0,6.25*K5)</f>
        <v>12.5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3150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5.0999999999999996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0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1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K16" s="3"/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18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53</v>
      </c>
      <c r="K18" s="36">
        <f>1+0.2*C22/C23</f>
        <v>1.1333333333333333</v>
      </c>
      <c r="N18" s="9"/>
    </row>
    <row r="19" spans="1:20" x14ac:dyDescent="0.25">
      <c r="A19" s="9"/>
      <c r="E19" s="13"/>
      <c r="F19" s="13"/>
      <c r="J19" s="16" t="s">
        <v>54</v>
      </c>
      <c r="K19" s="36">
        <f>0.5-0.2*C22/C23</f>
        <v>0.3666666666666667</v>
      </c>
      <c r="N19" s="9"/>
    </row>
    <row r="20" spans="1:20" x14ac:dyDescent="0.25">
      <c r="A20" s="9"/>
      <c r="B20" s="15"/>
      <c r="C20" s="4" t="str">
        <f>Glline(C22,C23,C21,C24,C25,C26,C27,C28)</f>
        <v>基礎寸法</v>
      </c>
      <c r="D20" s="16"/>
    </row>
    <row r="21" spans="1:20" x14ac:dyDescent="0.25">
      <c r="A21" s="9"/>
      <c r="B21" s="15" t="s">
        <v>1</v>
      </c>
      <c r="C21" s="37">
        <v>700</v>
      </c>
      <c r="D21" s="21" t="s">
        <v>2</v>
      </c>
      <c r="E21" s="4" t="s">
        <v>50</v>
      </c>
      <c r="F21" s="35">
        <v>16</v>
      </c>
      <c r="G21" s="5" t="s">
        <v>20</v>
      </c>
    </row>
    <row r="22" spans="1:20" x14ac:dyDescent="0.25">
      <c r="A22" s="9"/>
      <c r="B22" s="20" t="s">
        <v>4</v>
      </c>
      <c r="C22" s="37">
        <v>1200</v>
      </c>
      <c r="D22" s="21" t="s">
        <v>2</v>
      </c>
      <c r="E22" s="4" t="s">
        <v>51</v>
      </c>
      <c r="F22" s="35">
        <v>16</v>
      </c>
      <c r="G22" s="5" t="s">
        <v>20</v>
      </c>
      <c r="I22" s="3"/>
      <c r="J22" s="3"/>
      <c r="K22" s="3"/>
    </row>
    <row r="23" spans="1:20" x14ac:dyDescent="0.25">
      <c r="A23" s="7"/>
      <c r="B23" s="20" t="s">
        <v>47</v>
      </c>
      <c r="C23" s="37">
        <v>1800</v>
      </c>
      <c r="D23" s="21" t="s">
        <v>2</v>
      </c>
      <c r="I23" s="3"/>
      <c r="J23" s="3"/>
      <c r="L23" s="7"/>
      <c r="M23" s="12"/>
      <c r="N23" s="7"/>
    </row>
    <row r="24" spans="1:20" x14ac:dyDescent="0.25">
      <c r="A24" s="7"/>
      <c r="B24" s="15" t="s">
        <v>7</v>
      </c>
      <c r="C24" s="38">
        <v>300</v>
      </c>
      <c r="D24" s="21" t="s">
        <v>2</v>
      </c>
      <c r="E24" s="4" t="s">
        <v>19</v>
      </c>
      <c r="F24" s="34">
        <f>IF(K10&gt;=C22*2+C21,F22,F22-10)</f>
        <v>16</v>
      </c>
      <c r="G24" s="3" t="s">
        <v>21</v>
      </c>
      <c r="I24" s="3"/>
      <c r="J24" s="3"/>
      <c r="K24" s="3"/>
      <c r="L24" s="3"/>
      <c r="M24" s="2"/>
      <c r="N24" s="7"/>
    </row>
    <row r="25" spans="1:20" x14ac:dyDescent="0.25">
      <c r="A25" s="7"/>
      <c r="B25" s="15" t="s">
        <v>8</v>
      </c>
      <c r="C25" s="38">
        <v>750</v>
      </c>
      <c r="D25" s="21" t="s">
        <v>2</v>
      </c>
      <c r="E25" s="4" t="s">
        <v>22</v>
      </c>
      <c r="F25" s="34">
        <f>IF(K10&gt;=C21,F22,(F22*K10+(F22-10)*(C21-K10))/C21)</f>
        <v>16</v>
      </c>
      <c r="G25" s="3" t="s">
        <v>23</v>
      </c>
      <c r="L25" s="7"/>
      <c r="M25" s="12"/>
      <c r="N25" s="7"/>
    </row>
    <row r="26" spans="1:20" x14ac:dyDescent="0.25">
      <c r="A26" s="7"/>
      <c r="B26" s="15" t="s">
        <v>10</v>
      </c>
      <c r="C26" s="38">
        <v>750</v>
      </c>
      <c r="D26" s="21" t="s">
        <v>2</v>
      </c>
      <c r="N26" s="7"/>
    </row>
    <row r="27" spans="1:20" x14ac:dyDescent="0.25">
      <c r="A27" s="7"/>
      <c r="B27" s="15" t="s">
        <v>12</v>
      </c>
      <c r="C27" s="38">
        <v>0</v>
      </c>
      <c r="D27" s="21" t="s">
        <v>2</v>
      </c>
      <c r="N27" s="7"/>
    </row>
    <row r="28" spans="1:20" x14ac:dyDescent="0.25">
      <c r="A28" s="7"/>
      <c r="B28" s="15" t="s">
        <v>13</v>
      </c>
      <c r="C28" s="38">
        <v>0</v>
      </c>
      <c r="D28" s="21" t="s">
        <v>2</v>
      </c>
      <c r="N28" s="7"/>
    </row>
    <row r="29" spans="1:20" x14ac:dyDescent="0.25">
      <c r="A29" s="7"/>
      <c r="B29" s="7"/>
      <c r="J29" s="3"/>
      <c r="K29" s="3"/>
      <c r="N29" s="7"/>
    </row>
    <row r="30" spans="1:20" x14ac:dyDescent="0.25">
      <c r="A30" s="7"/>
      <c r="B30" s="7"/>
      <c r="L30" s="7"/>
      <c r="M30" s="2"/>
      <c r="N30" s="7"/>
    </row>
    <row r="31" spans="1:20" x14ac:dyDescent="0.25">
      <c r="A31" s="7"/>
      <c r="C31" s="7"/>
      <c r="E31" s="3" t="s">
        <v>24</v>
      </c>
      <c r="F31" s="7"/>
      <c r="G31" s="3"/>
      <c r="H31" s="3"/>
      <c r="I31" s="2"/>
      <c r="J31" s="2"/>
      <c r="K31" s="9"/>
      <c r="L31" s="7"/>
      <c r="M31" s="2"/>
      <c r="N31" s="7"/>
    </row>
    <row r="32" spans="1:20" x14ac:dyDescent="0.25">
      <c r="A32" s="7"/>
      <c r="C32" s="7"/>
      <c r="E32" s="22"/>
      <c r="F32" s="23" t="s">
        <v>25</v>
      </c>
      <c r="G32" s="23" t="s">
        <v>26</v>
      </c>
      <c r="H32" s="23" t="s">
        <v>27</v>
      </c>
      <c r="I32" s="24" t="s">
        <v>28</v>
      </c>
      <c r="J32" s="24" t="s">
        <v>29</v>
      </c>
      <c r="K32" s="24" t="s">
        <v>30</v>
      </c>
      <c r="L32" s="3"/>
      <c r="M32" s="7"/>
    </row>
    <row r="33" spans="1:14" x14ac:dyDescent="0.25">
      <c r="A33" s="7"/>
      <c r="C33" s="7"/>
      <c r="E33" s="25" t="s">
        <v>31</v>
      </c>
      <c r="F33" s="26">
        <v>1</v>
      </c>
      <c r="G33" s="26">
        <v>0</v>
      </c>
      <c r="H33" s="27">
        <f>G33/F33</f>
        <v>0</v>
      </c>
      <c r="I33" s="28">
        <f>DEGREES(ATAN(H33))</f>
        <v>0</v>
      </c>
      <c r="J33" s="29">
        <f>(1-(I33/90))^2</f>
        <v>1</v>
      </c>
      <c r="K33" s="29">
        <f>IF(K7=0,1,(1-(MIN(I33,K7)/K7))^2)</f>
        <v>1</v>
      </c>
      <c r="L33" s="30"/>
      <c r="M33" s="7"/>
    </row>
    <row r="34" spans="1:14" x14ac:dyDescent="0.25">
      <c r="A34" s="7"/>
      <c r="C34" s="7"/>
      <c r="E34" s="25" t="s">
        <v>32</v>
      </c>
      <c r="F34" s="26">
        <v>1</v>
      </c>
      <c r="G34" s="26">
        <v>0.16</v>
      </c>
      <c r="H34" s="27">
        <f>G34/F34</f>
        <v>0.16</v>
      </c>
      <c r="I34" s="28">
        <f>DEGREES(ATAN(H34))</f>
        <v>9.0902769208223226</v>
      </c>
      <c r="J34" s="29">
        <f>(1-(I34/90))^2</f>
        <v>0.80819546774681694</v>
      </c>
      <c r="K34" s="29">
        <f>IF(K7=0,1,(1-(MIN(I34,K7)/K7))^2)</f>
        <v>1</v>
      </c>
      <c r="L34" s="2"/>
      <c r="M34" s="7"/>
    </row>
    <row r="35" spans="1:14" x14ac:dyDescent="0.25">
      <c r="A35" s="7"/>
      <c r="N35" s="7"/>
    </row>
    <row r="36" spans="1:14" x14ac:dyDescent="0.25">
      <c r="A36" s="7"/>
      <c r="N36" s="7"/>
    </row>
    <row r="37" spans="1:14" x14ac:dyDescent="0.25">
      <c r="A37" s="7"/>
      <c r="C37" s="7" t="s">
        <v>33</v>
      </c>
      <c r="D37" s="7"/>
      <c r="E37" s="7"/>
      <c r="F37" s="7"/>
      <c r="G37" s="7"/>
      <c r="H37" s="7"/>
      <c r="I37" s="7"/>
      <c r="J37" s="7"/>
      <c r="K37" s="7"/>
      <c r="L37" s="7"/>
    </row>
    <row r="38" spans="1:14" x14ac:dyDescent="0.25">
      <c r="A38" s="7"/>
      <c r="C38" s="31" t="s">
        <v>34</v>
      </c>
      <c r="D38" s="5" t="s">
        <v>48</v>
      </c>
      <c r="E38" s="3"/>
      <c r="F38" s="3"/>
      <c r="G38" s="3"/>
      <c r="H38" s="3"/>
      <c r="I38" s="3"/>
      <c r="J38" s="3"/>
      <c r="K38" s="3"/>
    </row>
    <row r="39" spans="1:14" x14ac:dyDescent="0.25">
      <c r="A39" s="7"/>
      <c r="C39" s="31" t="s">
        <v>34</v>
      </c>
      <c r="D39" s="3" t="s">
        <v>35</v>
      </c>
      <c r="E39" s="32">
        <f>J33*K18*K8*K13</f>
        <v>72.249999999999986</v>
      </c>
      <c r="F39" s="2" t="s">
        <v>36</v>
      </c>
      <c r="G39" s="32">
        <f>K33*K19*F24*C22/1000*K14</f>
        <v>0</v>
      </c>
      <c r="H39" s="2" t="s">
        <v>36</v>
      </c>
      <c r="I39" s="32">
        <f>J33*F25*C21*K15/1000</f>
        <v>11.2</v>
      </c>
      <c r="J39" s="7" t="s">
        <v>37</v>
      </c>
      <c r="K39" s="33">
        <f>ROUND(1/3*(E39+G39+I39),1)</f>
        <v>27.8</v>
      </c>
      <c r="L39" s="30" t="s">
        <v>41</v>
      </c>
    </row>
    <row r="40" spans="1:14" x14ac:dyDescent="0.25">
      <c r="A40" s="7"/>
      <c r="M40" s="12"/>
      <c r="N40" s="7"/>
    </row>
    <row r="41" spans="1:14" x14ac:dyDescent="0.25">
      <c r="A41" s="7"/>
      <c r="C41" s="7" t="s">
        <v>38</v>
      </c>
      <c r="D41" s="7"/>
      <c r="E41" s="7"/>
      <c r="F41" s="7"/>
      <c r="G41" s="7"/>
      <c r="H41" s="7"/>
      <c r="I41" s="7"/>
      <c r="J41" s="7"/>
      <c r="K41" s="7"/>
      <c r="L41" s="7"/>
    </row>
    <row r="42" spans="1:14" x14ac:dyDescent="0.25">
      <c r="A42" s="7"/>
      <c r="C42" s="31" t="s">
        <v>39</v>
      </c>
      <c r="D42" s="5" t="s">
        <v>49</v>
      </c>
      <c r="E42" s="3"/>
      <c r="F42" s="3"/>
      <c r="G42" s="3"/>
      <c r="H42" s="3"/>
      <c r="I42" s="3"/>
      <c r="J42" s="3"/>
      <c r="K42" s="3"/>
      <c r="L42" s="3"/>
    </row>
    <row r="43" spans="1:14" x14ac:dyDescent="0.25">
      <c r="A43" s="7"/>
      <c r="C43" s="31" t="s">
        <v>39</v>
      </c>
      <c r="D43" s="3" t="s">
        <v>40</v>
      </c>
      <c r="E43" s="32">
        <f>J34*K18*K8*K13</f>
        <v>58.392122544707519</v>
      </c>
      <c r="F43" s="2" t="s">
        <v>36</v>
      </c>
      <c r="G43" s="32">
        <f>K34*K19*F24*C22/1000*K14</f>
        <v>0</v>
      </c>
      <c r="H43" s="2" t="s">
        <v>36</v>
      </c>
      <c r="I43" s="32">
        <f>J34*F25*C21/1000*K15</f>
        <v>9.0517892387643499</v>
      </c>
      <c r="J43" s="7" t="s">
        <v>37</v>
      </c>
      <c r="K43" s="33">
        <f>ROUND(2/3*(E43+G43+I43),1)</f>
        <v>45</v>
      </c>
      <c r="L43" s="30" t="s">
        <v>41</v>
      </c>
    </row>
    <row r="44" spans="1:14" x14ac:dyDescent="0.25">
      <c r="A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C45" s="3" t="s">
        <v>42</v>
      </c>
      <c r="M45" s="12"/>
      <c r="N45" s="7"/>
    </row>
    <row r="46" spans="1:14" x14ac:dyDescent="0.25">
      <c r="A46" s="7"/>
      <c r="E46" s="18">
        <v>50</v>
      </c>
      <c r="F46" s="5" t="s">
        <v>43</v>
      </c>
      <c r="G46" s="5"/>
      <c r="H46" s="7"/>
      <c r="I46" s="18">
        <v>100</v>
      </c>
      <c r="J46" s="5" t="s">
        <v>44</v>
      </c>
      <c r="K46" s="5"/>
      <c r="M46" s="30"/>
      <c r="N46" s="7"/>
    </row>
    <row r="47" spans="1:14" x14ac:dyDescent="0.25">
      <c r="A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12"/>
      <c r="N47" s="7"/>
    </row>
    <row r="48" spans="1:14" x14ac:dyDescent="0.25">
      <c r="A48" s="7"/>
      <c r="B48" s="7"/>
      <c r="D48" s="7"/>
      <c r="E48" s="7"/>
      <c r="F48" s="7"/>
      <c r="G48" s="7"/>
      <c r="H48" s="7"/>
      <c r="I48" s="7"/>
      <c r="J48" s="7"/>
      <c r="K48" s="7"/>
      <c r="L48" s="3"/>
      <c r="M48" s="12"/>
      <c r="N48" s="7"/>
    </row>
    <row r="49" spans="1:14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12"/>
      <c r="N49" s="7"/>
    </row>
    <row r="50" spans="1:14" x14ac:dyDescent="0.25">
      <c r="A50" s="7"/>
      <c r="B50" s="7"/>
      <c r="C50" s="7"/>
      <c r="D50" s="7"/>
      <c r="L50" s="3"/>
      <c r="M50" s="12"/>
      <c r="N50" s="7"/>
    </row>
    <row r="51" spans="1:14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12"/>
      <c r="N51" s="7"/>
    </row>
    <row r="52" spans="1:14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12"/>
      <c r="N52" s="7"/>
    </row>
  </sheetData>
  <phoneticPr fontId="2"/>
  <dataValidations count="1">
    <dataValidation type="list" allowBlank="1" showInputMessage="1" showErrorMessage="1" sqref="K4" xr:uid="{83F4DAC3-36F4-44BA-80EB-F5F02030D081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2D0-6A22-4546-9F14-6F3CBA647797}">
  <sheetPr codeName="Sheet3"/>
  <dimension ref="A1:T46"/>
  <sheetViews>
    <sheetView tabSelected="1" topLeftCell="A19" workbookViewId="0">
      <selection activeCell="K33" sqref="K33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55</v>
      </c>
      <c r="K4" s="6">
        <v>11500</v>
      </c>
    </row>
    <row r="5" spans="1:20" x14ac:dyDescent="0.25">
      <c r="A5" s="9"/>
      <c r="B5" s="9"/>
      <c r="C5" s="13"/>
      <c r="D5" s="13"/>
      <c r="E5" s="13"/>
      <c r="F5" s="13"/>
      <c r="J5" s="16" t="s">
        <v>56</v>
      </c>
      <c r="K5" s="18" t="s">
        <v>57</v>
      </c>
    </row>
    <row r="6" spans="1:20" x14ac:dyDescent="0.25">
      <c r="A6" s="9"/>
      <c r="B6" s="9"/>
      <c r="C6" s="13"/>
      <c r="D6" s="13"/>
      <c r="E6" s="13"/>
      <c r="F6" s="14"/>
      <c r="J6" s="16" t="s">
        <v>6</v>
      </c>
      <c r="K6" s="17">
        <v>1</v>
      </c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IF(K5="砂質土",ROUND(SQRT(20*K6)+15,0),0)</f>
        <v>19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IF(K5="砂質土",0,6.25*K6)</f>
        <v>0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11500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13.933559371766499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2.4025137318992198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5.7977091549474595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K16" s="3"/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18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53</v>
      </c>
      <c r="K18" s="36">
        <f>1+0.2*C22/C23</f>
        <v>1.1000000000000001</v>
      </c>
      <c r="N18" s="9"/>
    </row>
    <row r="19" spans="1:20" x14ac:dyDescent="0.25">
      <c r="A19" s="9"/>
      <c r="E19" s="13" t="s">
        <v>66</v>
      </c>
      <c r="F19" s="13">
        <f>COUNT(F21:F27)</f>
        <v>4</v>
      </c>
      <c r="J19" s="16" t="s">
        <v>54</v>
      </c>
      <c r="K19" s="36">
        <f>0.5-0.2*C22/C23</f>
        <v>0.4</v>
      </c>
      <c r="N19" s="9"/>
    </row>
    <row r="20" spans="1:20" x14ac:dyDescent="0.25">
      <c r="A20" s="9"/>
      <c r="B20" s="15"/>
      <c r="C20" s="4">
        <f>nisoujiban(C22,C23,C21,K4,K10)</f>
        <v>400</v>
      </c>
      <c r="D20" s="16"/>
      <c r="E20" s="40" t="s">
        <v>60</v>
      </c>
      <c r="F20" s="40" t="s">
        <v>61</v>
      </c>
      <c r="G20" s="40" t="s">
        <v>65</v>
      </c>
    </row>
    <row r="21" spans="1:20" x14ac:dyDescent="0.25">
      <c r="A21" s="9"/>
      <c r="B21" s="15" t="s">
        <v>1</v>
      </c>
      <c r="C21" s="37">
        <v>9500</v>
      </c>
      <c r="D21" s="16">
        <v>1</v>
      </c>
      <c r="E21" s="40" t="s">
        <v>62</v>
      </c>
      <c r="F21" s="40">
        <v>0.6</v>
      </c>
      <c r="G21" s="40">
        <v>16</v>
      </c>
    </row>
    <row r="22" spans="1:20" x14ac:dyDescent="0.25">
      <c r="A22" s="9"/>
      <c r="B22" s="20" t="s">
        <v>4</v>
      </c>
      <c r="C22" s="37">
        <v>1000</v>
      </c>
      <c r="D22" s="16">
        <v>2</v>
      </c>
      <c r="E22" s="40" t="s">
        <v>63</v>
      </c>
      <c r="F22" s="40">
        <v>2.8</v>
      </c>
      <c r="G22" s="40">
        <v>18</v>
      </c>
      <c r="I22" s="4" t="s">
        <v>50</v>
      </c>
      <c r="J22" s="35">
        <v>16</v>
      </c>
      <c r="K22" s="5" t="s">
        <v>20</v>
      </c>
    </row>
    <row r="23" spans="1:20" x14ac:dyDescent="0.25">
      <c r="A23" s="7"/>
      <c r="B23" s="20" t="s">
        <v>47</v>
      </c>
      <c r="C23" s="37">
        <v>2000</v>
      </c>
      <c r="D23" s="16">
        <v>3</v>
      </c>
      <c r="E23" s="40" t="s">
        <v>63</v>
      </c>
      <c r="F23" s="40">
        <v>8.8000000000000007</v>
      </c>
      <c r="G23" s="40">
        <v>18</v>
      </c>
      <c r="I23" s="4" t="s">
        <v>51</v>
      </c>
      <c r="J23" s="35">
        <v>16</v>
      </c>
      <c r="K23" s="5" t="s">
        <v>20</v>
      </c>
      <c r="L23" s="7"/>
      <c r="M23" s="12"/>
      <c r="N23" s="7"/>
    </row>
    <row r="24" spans="1:20" x14ac:dyDescent="0.25">
      <c r="A24" s="7"/>
      <c r="B24" s="15"/>
      <c r="C24" s="38"/>
      <c r="D24" s="16">
        <v>4</v>
      </c>
      <c r="E24" s="40" t="s">
        <v>64</v>
      </c>
      <c r="F24" s="40">
        <v>2</v>
      </c>
      <c r="G24" s="40">
        <v>16</v>
      </c>
      <c r="L24" s="3"/>
      <c r="M24" s="2"/>
      <c r="N24" s="7"/>
    </row>
    <row r="25" spans="1:20" x14ac:dyDescent="0.25">
      <c r="A25" s="7"/>
      <c r="B25" s="15"/>
      <c r="C25" s="38"/>
      <c r="D25" s="21"/>
      <c r="L25" s="7"/>
      <c r="M25" s="12"/>
      <c r="N25" s="7"/>
    </row>
    <row r="26" spans="1:20" x14ac:dyDescent="0.25">
      <c r="A26" s="7"/>
      <c r="B26" s="15"/>
      <c r="C26" s="38"/>
      <c r="D26" s="21"/>
      <c r="L26" s="3"/>
      <c r="P26" s="3"/>
    </row>
    <row r="27" spans="1:20" x14ac:dyDescent="0.25">
      <c r="A27" s="7"/>
      <c r="B27" s="15"/>
      <c r="C27" s="38"/>
      <c r="D27" s="21"/>
    </row>
    <row r="28" spans="1:20" x14ac:dyDescent="0.25">
      <c r="A28" s="7"/>
      <c r="B28" s="15"/>
      <c r="C28" s="38"/>
      <c r="D28" s="21"/>
      <c r="E28" s="4" t="s">
        <v>22</v>
      </c>
      <c r="F28" s="34">
        <v>6</v>
      </c>
      <c r="G28" s="3" t="s">
        <v>59</v>
      </c>
      <c r="N28" s="7"/>
    </row>
    <row r="29" spans="1:20" x14ac:dyDescent="0.25">
      <c r="A29" s="7"/>
      <c r="B29" s="7"/>
      <c r="E29" s="4" t="s">
        <v>19</v>
      </c>
      <c r="F29" s="34">
        <v>8</v>
      </c>
      <c r="G29" s="3" t="s">
        <v>59</v>
      </c>
      <c r="J29" s="3"/>
      <c r="K29" s="3"/>
      <c r="N29" s="7"/>
    </row>
    <row r="30" spans="1:20" x14ac:dyDescent="0.25">
      <c r="A30" s="7"/>
      <c r="B30" s="7"/>
      <c r="L30" s="7"/>
      <c r="M30" s="2"/>
      <c r="N30" s="7"/>
    </row>
    <row r="31" spans="1:20" x14ac:dyDescent="0.25">
      <c r="A31" s="7"/>
      <c r="C31" s="7" t="s">
        <v>33</v>
      </c>
      <c r="D31" s="7"/>
      <c r="E31" s="7"/>
      <c r="F31" s="7"/>
      <c r="G31" s="7"/>
      <c r="H31" s="7"/>
      <c r="I31" s="7"/>
      <c r="J31" s="7"/>
      <c r="K31" s="7"/>
      <c r="L31" s="7"/>
    </row>
    <row r="32" spans="1:20" x14ac:dyDescent="0.25">
      <c r="A32" s="7"/>
      <c r="C32" s="31" t="s">
        <v>34</v>
      </c>
      <c r="D32" s="5" t="s">
        <v>58</v>
      </c>
      <c r="E32" s="3"/>
      <c r="F32" s="3"/>
      <c r="G32" s="3"/>
      <c r="H32" s="3"/>
      <c r="I32" s="3"/>
      <c r="J32" s="3"/>
      <c r="K32" s="3"/>
    </row>
    <row r="33" spans="1:14" x14ac:dyDescent="0.25">
      <c r="A33" s="7"/>
      <c r="C33" s="31" t="s">
        <v>34</v>
      </c>
      <c r="D33" s="3" t="s">
        <v>35</v>
      </c>
      <c r="E33" s="32" t="e">
        <f>#REF!*K18*K8*K13</f>
        <v>#REF!</v>
      </c>
      <c r="F33" s="2" t="s">
        <v>36</v>
      </c>
      <c r="G33" s="32" t="e">
        <f>#REF!*K19*F29*C22/1000*K14</f>
        <v>#REF!</v>
      </c>
      <c r="H33" s="2" t="s">
        <v>36</v>
      </c>
      <c r="I33" s="32" t="e">
        <f>#REF!*F28*C21*K15/1000</f>
        <v>#REF!</v>
      </c>
      <c r="J33" s="7" t="s">
        <v>37</v>
      </c>
      <c r="K33" s="33" t="e">
        <f>ROUND(1/3*(E33+G33+I33),1)</f>
        <v>#REF!</v>
      </c>
      <c r="L33" s="30" t="s">
        <v>41</v>
      </c>
    </row>
    <row r="34" spans="1:14" x14ac:dyDescent="0.25">
      <c r="A34" s="7"/>
      <c r="M34" s="12"/>
      <c r="N34" s="7"/>
    </row>
    <row r="35" spans="1:14" x14ac:dyDescent="0.25">
      <c r="A35" s="7"/>
      <c r="C35" s="7" t="s">
        <v>38</v>
      </c>
      <c r="D35" s="7"/>
      <c r="E35" s="7"/>
      <c r="F35" s="7"/>
      <c r="G35" s="7"/>
      <c r="H35" s="7"/>
      <c r="I35" s="7"/>
      <c r="J35" s="7"/>
      <c r="K35" s="7"/>
      <c r="L35" s="7"/>
    </row>
    <row r="36" spans="1:14" x14ac:dyDescent="0.25">
      <c r="A36" s="7"/>
      <c r="C36" s="31" t="s">
        <v>39</v>
      </c>
      <c r="D36" s="5" t="s">
        <v>49</v>
      </c>
      <c r="E36" s="3"/>
      <c r="F36" s="3"/>
      <c r="G36" s="3"/>
      <c r="H36" s="3"/>
      <c r="I36" s="3"/>
      <c r="J36" s="3"/>
      <c r="K36" s="3"/>
      <c r="L36" s="3"/>
    </row>
    <row r="37" spans="1:14" x14ac:dyDescent="0.25">
      <c r="A37" s="7"/>
      <c r="C37" s="31" t="s">
        <v>39</v>
      </c>
      <c r="D37" s="3" t="s">
        <v>40</v>
      </c>
      <c r="E37" s="32" t="e">
        <f>#REF!*K18*K8*K13</f>
        <v>#REF!</v>
      </c>
      <c r="F37" s="2" t="s">
        <v>36</v>
      </c>
      <c r="G37" s="32" t="e">
        <f>#REF!*K19*F29*C22/1000*K14</f>
        <v>#REF!</v>
      </c>
      <c r="H37" s="2" t="s">
        <v>36</v>
      </c>
      <c r="I37" s="32" t="e">
        <f>#REF!*F28*C21/1000*K15</f>
        <v>#REF!</v>
      </c>
      <c r="J37" s="7" t="s">
        <v>37</v>
      </c>
      <c r="K37" s="33" t="e">
        <f>ROUND(2/3*(E37+G37+I37),1)</f>
        <v>#REF!</v>
      </c>
      <c r="L37" s="30" t="s">
        <v>41</v>
      </c>
    </row>
    <row r="38" spans="1:14" x14ac:dyDescent="0.25">
      <c r="A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12"/>
      <c r="N38" s="7"/>
    </row>
    <row r="39" spans="1:14" x14ac:dyDescent="0.25">
      <c r="A39" s="7"/>
      <c r="C39" s="3" t="s">
        <v>42</v>
      </c>
      <c r="M39" s="12"/>
      <c r="N39" s="7"/>
    </row>
    <row r="40" spans="1:14" x14ac:dyDescent="0.25">
      <c r="A40" s="7"/>
      <c r="E40" s="18">
        <v>50</v>
      </c>
      <c r="F40" s="5" t="s">
        <v>43</v>
      </c>
      <c r="G40" s="5"/>
      <c r="H40" s="7"/>
      <c r="I40" s="18">
        <v>100</v>
      </c>
      <c r="J40" s="5" t="s">
        <v>44</v>
      </c>
      <c r="K40" s="5"/>
      <c r="M40" s="30"/>
      <c r="N40" s="7"/>
    </row>
    <row r="41" spans="1:14" x14ac:dyDescent="0.25">
      <c r="A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12"/>
      <c r="N41" s="7"/>
    </row>
    <row r="42" spans="1:14" x14ac:dyDescent="0.25">
      <c r="A42" s="7"/>
      <c r="B42" s="7"/>
      <c r="D42" s="7"/>
      <c r="E42" s="7"/>
      <c r="F42" s="7"/>
      <c r="G42" s="7"/>
      <c r="H42" s="7"/>
      <c r="I42" s="7"/>
      <c r="J42" s="7"/>
      <c r="K42" s="7"/>
      <c r="L42" s="3"/>
      <c r="M42" s="12"/>
      <c r="N42" s="7"/>
    </row>
    <row r="43" spans="1:1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12"/>
      <c r="N43" s="7"/>
    </row>
    <row r="44" spans="1:14" x14ac:dyDescent="0.25">
      <c r="A44" s="7"/>
      <c r="B44" s="7"/>
      <c r="C44" s="7"/>
      <c r="D44" s="7"/>
      <c r="L44" s="3"/>
      <c r="M44" s="12"/>
      <c r="N44" s="7"/>
    </row>
    <row r="45" spans="1:1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12"/>
      <c r="N45" s="7"/>
    </row>
    <row r="46" spans="1:1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12"/>
      <c r="N46" s="7"/>
    </row>
  </sheetData>
  <phoneticPr fontId="2"/>
  <dataValidations disablePrompts="1" count="1">
    <dataValidation type="list" allowBlank="1" showInputMessage="1" showErrorMessage="1" sqref="K5" xr:uid="{AF262B2C-0759-4CAE-B909-979CF5408404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FE1EB-348F-4435-BA0F-F6BE86DDB3FC}">
  <sheetPr codeName="Sheet2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Sheet1 (2)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2020-07-10T08:19:08Z</cp:lastPrinted>
  <dcterms:created xsi:type="dcterms:W3CDTF">2020-07-08T04:03:42Z</dcterms:created>
  <dcterms:modified xsi:type="dcterms:W3CDTF">2020-10-28T08:43:40Z</dcterms:modified>
</cp:coreProperties>
</file>