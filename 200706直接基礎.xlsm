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025134\github\excel_foudation\"/>
    </mc:Choice>
  </mc:AlternateContent>
  <xr:revisionPtr revIDLastSave="0" documentId="10_ncr:100000_{78C53397-AA85-4853-815F-61CA5BCAB7AC}" xr6:coauthVersionLast="31" xr6:coauthVersionMax="45" xr10:uidLastSave="{00000000-0000-0000-0000-000000000000}"/>
  <bookViews>
    <workbookView xWindow="-120" yWindow="-120" windowWidth="20730" windowHeight="11160" activeTab="1" xr2:uid="{FE712974-A990-474E-9082-08B877A1FB98}"/>
  </bookViews>
  <sheets>
    <sheet name="Sheet1" sheetId="1" r:id="rId1"/>
    <sheet name="input" sheetId="4" r:id="rId2"/>
    <sheet name="Sheet1 (2)" sheetId="3" r:id="rId3"/>
    <sheet name="Sheet2" sheetId="5" r:id="rId4"/>
  </sheets>
  <functionGroups builtInGroupCount="19"/>
  <calcPr calcId="179017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4" l="1"/>
  <c r="F7" i="4"/>
  <c r="F5" i="4"/>
  <c r="F4" i="4"/>
  <c r="B3" i="4"/>
  <c r="H21" i="3" l="1"/>
  <c r="F20" i="3"/>
  <c r="J21" i="3" l="1"/>
  <c r="J22" i="3" s="1"/>
  <c r="J23" i="3" s="1"/>
  <c r="J24" i="3" s="1"/>
  <c r="F29" i="3"/>
  <c r="F30" i="3" s="1"/>
  <c r="H19" i="3"/>
  <c r="F24" i="3" l="1"/>
  <c r="F25" i="3"/>
  <c r="K17" i="3"/>
  <c r="C20" i="1"/>
  <c r="F26" i="3" l="1"/>
  <c r="F31" i="3" s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5" i="1"/>
  <c r="K13" i="1"/>
  <c r="K15" i="3"/>
  <c r="K13" i="3"/>
  <c r="K14" i="1"/>
  <c r="K14" i="3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<sst xmlns="http://schemas.openxmlformats.org/spreadsheetml/2006/main" count="137" uniqueCount="78">
  <si>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</si>
  <si>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</si>
  <si>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</si>
  <si>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</si>
  <si>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</si>
  <si>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</si>
  <si>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</si>
  <si>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</si>
  <si>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</si>
  <si>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</si>
  <si>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</si>
  <si>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</si>
  <si>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</si>
  <si>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</si>
  <si>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</si>
  <si>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</si>
  <si>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</si>
  <si>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</si>
  <si>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</si>
  <si>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</si>
  <si>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</si>
  <si>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</si>
  <si>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</si>
  <si>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</si>
  <si>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</si>
  <si>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</si>
  <si>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</si>
  <si>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</si>
  <si>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</si>
  <si>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</si>
  <si>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</si>
  <si>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</si>
  <si>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</si>
  <si>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</si>
  <si>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</si>
  <si>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</si>
  <si>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</si>
  <si>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</si>
  <si>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</si>
  <si>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</si>
  <si>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</si>
  <si>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</si>
  <si>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</si>
  <si>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</si>
  <si>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</si>
  <si>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</si>
  <si>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</si>
  <si>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</si>
  <si>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</si>
  <si>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</si>
  <si>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</si>
  <si>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</si>
  <si>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</si>
  <si>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</si>
  <si>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</si>
  <si>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</si>
  <si>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</si>
  <si>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</si>
  <si>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</si>
  <si>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</si>
  <si>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</si>
  <si>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</si>
  <si>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</si>
  <si>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</si>
  <si>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</si>
  <si>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</si>
  <si>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</si>
  <si>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</si>
  <si>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</si>
  <si>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</si>
  <si>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</si>
  <si>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</si>
  <si>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</si>
  <si>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</si>
  <si>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</si>
  <si>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</si>
  <si>
    <t>WL</t>
    <phoneticPr fontId="2"/>
  </si>
  <si>
    <t>DF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</si>
</sst>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1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76200</xdr:colOff>
      <xdr:row>3</xdr:row>
      <xdr:rowOff>0</xdr:rowOff>
    </xdr:to>
    <xdr:cxnSp macro="">
      <xdr:nvCxnSpPr>
        <xdr:cNvPr id="334" name="line01">
          <a:extLst>
            <a:ext uri="{FF2B5EF4-FFF2-40B4-BE49-F238E27FC236}">
              <a16:creationId xmlns:a16="http://schemas.microsoft.com/office/drawing/2014/main" id="{B899A02E-414C-4B1E-8E7F-5273351ABE0A}"/>
            </a:ext>
          </a:extLst>
        </xdr:cNvPr>
        <xdr:cNvCxnSpPr/>
      </xdr:nvCxnSpPr>
      <xdr:spPr>
        <a:xfrm>
          <a:off x="685800" y="714375"/>
          <a:ext cx="35337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22225</xdr:rowOff>
    </xdr:from>
    <xdr:to>
      <xdr:col>1</xdr:col>
      <xdr:colOff>635000</xdr:colOff>
      <xdr:row>3</xdr:row>
      <xdr:rowOff>38100</xdr:rowOff>
    </xdr:to>
    <xdr:sp macro="" textlink="">
      <xdr:nvSpPr>
        <xdr:cNvPr id="335" name="textbox01">
          <a:extLst>
            <a:ext uri="{FF2B5EF4-FFF2-40B4-BE49-F238E27FC236}">
              <a16:creationId xmlns:a16="http://schemas.microsoft.com/office/drawing/2014/main" id="{0D301A64-4061-46E5-844F-8D291D65E92A}"/>
            </a:ext>
          </a:extLst>
        </xdr:cNvPr>
        <xdr:cNvSpPr txBox="1"/>
      </xdr:nvSpPr>
      <xdr:spPr>
        <a:xfrm>
          <a:off x="685800" y="4984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133783</xdr:colOff>
      <xdr:row>2</xdr:row>
      <xdr:rowOff>111125</xdr:rowOff>
    </xdr:from>
    <xdr:to>
      <xdr:col>3</xdr:col>
      <xdr:colOff>133783</xdr:colOff>
      <xdr:row>16</xdr:row>
      <xdr:rowOff>190500</xdr:rowOff>
    </xdr:to>
    <xdr:cxnSp macro="">
      <xdr:nvCxnSpPr>
        <xdr:cNvPr id="336" name="line01">
          <a:extLst>
            <a:ext uri="{FF2B5EF4-FFF2-40B4-BE49-F238E27FC236}">
              <a16:creationId xmlns:a16="http://schemas.microsoft.com/office/drawing/2014/main" id="{B8CAFC67-8F93-475D-9506-165A228C6994}"/>
            </a:ext>
          </a:extLst>
        </xdr:cNvPr>
        <xdr:cNvCxnSpPr/>
      </xdr:nvCxnSpPr>
      <xdr:spPr>
        <a:xfrm flipV="1">
          <a:off x="2191183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133783</xdr:colOff>
      <xdr:row>2</xdr:row>
      <xdr:rowOff>111125</xdr:rowOff>
    </xdr:from>
    <xdr:to>
      <xdr:col>3</xdr:col>
      <xdr:colOff>133783</xdr:colOff>
      <xdr:row>16</xdr:row>
      <xdr:rowOff>190500</xdr:rowOff>
    </xdr:to>
    <xdr:cxnSp macro="">
      <xdr:nvCxnSpPr>
        <xdr:cNvPr id="337" name="line01">
          <a:extLst>
            <a:ext uri="{FF2B5EF4-FFF2-40B4-BE49-F238E27FC236}">
              <a16:creationId xmlns:a16="http://schemas.microsoft.com/office/drawing/2014/main" id="{76E231FD-92C3-4FAB-859F-BD99E5093B87}"/>
            </a:ext>
          </a:extLst>
        </xdr:cNvPr>
        <xdr:cNvCxnSpPr/>
      </xdr:nvCxnSpPr>
      <xdr:spPr>
        <a:xfrm flipV="1">
          <a:off x="2191183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670791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338" name="line01">
          <a:extLst>
            <a:ext uri="{FF2B5EF4-FFF2-40B4-BE49-F238E27FC236}">
              <a16:creationId xmlns:a16="http://schemas.microsoft.com/office/drawing/2014/main" id="{03E9D870-F9A0-4C85-91DC-657A76C35315}"/>
            </a:ext>
          </a:extLst>
        </xdr:cNvPr>
        <xdr:cNvCxnSpPr/>
      </xdr:nvCxnSpPr>
      <xdr:spPr>
        <a:xfrm>
          <a:off x="670791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670791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339" name="line01">
          <a:extLst>
            <a:ext uri="{FF2B5EF4-FFF2-40B4-BE49-F238E27FC236}">
              <a16:creationId xmlns:a16="http://schemas.microsoft.com/office/drawing/2014/main" id="{56550285-49D5-4DB0-90D7-418E0F7D131E}"/>
            </a:ext>
          </a:extLst>
        </xdr:cNvPr>
        <xdr:cNvCxnSpPr/>
      </xdr:nvCxnSpPr>
      <xdr:spPr>
        <a:xfrm>
          <a:off x="670791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340" name="line02">
          <a:extLst>
            <a:ext uri="{FF2B5EF4-FFF2-40B4-BE49-F238E27FC236}">
              <a16:creationId xmlns:a16="http://schemas.microsoft.com/office/drawing/2014/main" id="{64C84499-74AB-4995-B551-C4AFE0D5BAEA}"/>
            </a:ext>
          </a:extLst>
        </xdr:cNvPr>
        <xdr:cNvCxnSpPr/>
      </xdr:nvCxnSpPr>
      <xdr:spPr>
        <a:xfrm>
          <a:off x="924791" y="3810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8</xdr:row>
      <xdr:rowOff>216477</xdr:rowOff>
    </xdr:from>
    <xdr:to>
      <xdr:col>5</xdr:col>
      <xdr:colOff>0</xdr:colOff>
      <xdr:row>8</xdr:row>
      <xdr:rowOff>216477</xdr:rowOff>
    </xdr:to>
    <xdr:cxnSp macro="">
      <xdr:nvCxnSpPr>
        <xdr:cNvPr id="341" name="line02">
          <a:extLst>
            <a:ext uri="{FF2B5EF4-FFF2-40B4-BE49-F238E27FC236}">
              <a16:creationId xmlns:a16="http://schemas.microsoft.com/office/drawing/2014/main" id="{50231291-8667-4424-A6CC-A340F5C4BC69}"/>
            </a:ext>
          </a:extLst>
        </xdr:cNvPr>
        <xdr:cNvCxnSpPr/>
      </xdr:nvCxnSpPr>
      <xdr:spPr>
        <a:xfrm>
          <a:off x="924791" y="212147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8</xdr:row>
      <xdr:rowOff>216477</xdr:rowOff>
    </xdr:from>
    <xdr:to>
      <xdr:col>1</xdr:col>
      <xdr:colOff>238991</xdr:colOff>
      <xdr:row>16</xdr:row>
      <xdr:rowOff>0</xdr:rowOff>
    </xdr:to>
    <xdr:cxnSp macro="">
      <xdr:nvCxnSpPr>
        <xdr:cNvPr id="342" name="line02">
          <a:extLst>
            <a:ext uri="{FF2B5EF4-FFF2-40B4-BE49-F238E27FC236}">
              <a16:creationId xmlns:a16="http://schemas.microsoft.com/office/drawing/2014/main" id="{19648050-AE81-402A-A60B-B1D10EA8D00E}"/>
            </a:ext>
          </a:extLst>
        </xdr:cNvPr>
        <xdr:cNvCxnSpPr/>
      </xdr:nvCxnSpPr>
      <xdr:spPr>
        <a:xfrm flipV="1">
          <a:off x="924791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216477</xdr:rowOff>
    </xdr:from>
    <xdr:to>
      <xdr:col>5</xdr:col>
      <xdr:colOff>0</xdr:colOff>
      <xdr:row>16</xdr:row>
      <xdr:rowOff>0</xdr:rowOff>
    </xdr:to>
    <xdr:cxnSp macro="">
      <xdr:nvCxnSpPr>
        <xdr:cNvPr id="343" name="line02">
          <a:extLst>
            <a:ext uri="{FF2B5EF4-FFF2-40B4-BE49-F238E27FC236}">
              <a16:creationId xmlns:a16="http://schemas.microsoft.com/office/drawing/2014/main" id="{81CB7644-F953-4927-9E3F-496C0862B4CA}"/>
            </a:ext>
          </a:extLst>
        </xdr:cNvPr>
        <xdr:cNvCxnSpPr/>
      </xdr:nvCxnSpPr>
      <xdr:spPr>
        <a:xfrm flipV="1">
          <a:off x="3457575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7</xdr:row>
      <xdr:rowOff>32472</xdr:rowOff>
    </xdr:from>
    <xdr:to>
      <xdr:col>5</xdr:col>
      <xdr:colOff>0</xdr:colOff>
      <xdr:row>7</xdr:row>
      <xdr:rowOff>32472</xdr:rowOff>
    </xdr:to>
    <xdr:cxnSp macro="">
      <xdr:nvCxnSpPr>
        <xdr:cNvPr id="344" name="line02">
          <a:extLst>
            <a:ext uri="{FF2B5EF4-FFF2-40B4-BE49-F238E27FC236}">
              <a16:creationId xmlns:a16="http://schemas.microsoft.com/office/drawing/2014/main" id="{9565E038-7747-4C93-BF75-BF4AC3EE3F0B}"/>
            </a:ext>
          </a:extLst>
        </xdr:cNvPr>
        <xdr:cNvCxnSpPr/>
      </xdr:nvCxnSpPr>
      <xdr:spPr>
        <a:xfrm>
          <a:off x="924791" y="169934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5</xdr:row>
      <xdr:rowOff>86591</xdr:rowOff>
    </xdr:from>
    <xdr:to>
      <xdr:col>5</xdr:col>
      <xdr:colOff>0</xdr:colOff>
      <xdr:row>5</xdr:row>
      <xdr:rowOff>86591</xdr:rowOff>
    </xdr:to>
    <xdr:cxnSp macro="">
      <xdr:nvCxnSpPr>
        <xdr:cNvPr id="345" name="line02">
          <a:extLst>
            <a:ext uri="{FF2B5EF4-FFF2-40B4-BE49-F238E27FC236}">
              <a16:creationId xmlns:a16="http://schemas.microsoft.com/office/drawing/2014/main" id="{8AEEAD15-8DBC-483C-B315-D19F8BE213FB}"/>
            </a:ext>
          </a:extLst>
        </xdr:cNvPr>
        <xdr:cNvCxnSpPr/>
      </xdr:nvCxnSpPr>
      <xdr:spPr>
        <a:xfrm>
          <a:off x="924791" y="1277216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5</xdr:row>
      <xdr:rowOff>86591</xdr:rowOff>
    </xdr:from>
    <xdr:to>
      <xdr:col>1</xdr:col>
      <xdr:colOff>238991</xdr:colOff>
      <xdr:row>7</xdr:row>
      <xdr:rowOff>32472</xdr:rowOff>
    </xdr:to>
    <xdr:cxnSp macro="">
      <xdr:nvCxnSpPr>
        <xdr:cNvPr id="346" name="line02">
          <a:extLst>
            <a:ext uri="{FF2B5EF4-FFF2-40B4-BE49-F238E27FC236}">
              <a16:creationId xmlns:a16="http://schemas.microsoft.com/office/drawing/2014/main" id="{25EF6F20-302A-4AFB-A03B-095C1C86B602}"/>
            </a:ext>
          </a:extLst>
        </xdr:cNvPr>
        <xdr:cNvCxnSpPr/>
      </xdr:nvCxnSpPr>
      <xdr:spPr>
        <a:xfrm flipV="1">
          <a:off x="924791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86591</xdr:rowOff>
    </xdr:from>
    <xdr:to>
      <xdr:col>5</xdr:col>
      <xdr:colOff>0</xdr:colOff>
      <xdr:row>7</xdr:row>
      <xdr:rowOff>32472</xdr:rowOff>
    </xdr:to>
    <xdr:cxnSp macro="">
      <xdr:nvCxnSpPr>
        <xdr:cNvPr id="347" name="line02">
          <a:extLst>
            <a:ext uri="{FF2B5EF4-FFF2-40B4-BE49-F238E27FC236}">
              <a16:creationId xmlns:a16="http://schemas.microsoft.com/office/drawing/2014/main" id="{3DB2D91A-A3FD-4D28-B0B6-4BF758224C10}"/>
            </a:ext>
          </a:extLst>
        </xdr:cNvPr>
        <xdr:cNvCxnSpPr/>
      </xdr:nvCxnSpPr>
      <xdr:spPr>
        <a:xfrm flipV="1">
          <a:off x="3457575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3</xdr:row>
      <xdr:rowOff>0</xdr:rowOff>
    </xdr:from>
    <xdr:to>
      <xdr:col>2</xdr:col>
      <xdr:colOff>291920</xdr:colOff>
      <xdr:row>5</xdr:row>
      <xdr:rowOff>86591</xdr:rowOff>
    </xdr:to>
    <xdr:cxnSp macro="">
      <xdr:nvCxnSpPr>
        <xdr:cNvPr id="348" name="line02">
          <a:extLst>
            <a:ext uri="{FF2B5EF4-FFF2-40B4-BE49-F238E27FC236}">
              <a16:creationId xmlns:a16="http://schemas.microsoft.com/office/drawing/2014/main" id="{BD404F34-06E5-44A0-8727-5DD9DD5F374D}"/>
            </a:ext>
          </a:extLst>
        </xdr:cNvPr>
        <xdr:cNvCxnSpPr/>
      </xdr:nvCxnSpPr>
      <xdr:spPr>
        <a:xfrm flipV="1">
          <a:off x="1663520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661446</xdr:colOff>
      <xdr:row>3</xdr:row>
      <xdr:rowOff>0</xdr:rowOff>
    </xdr:from>
    <xdr:to>
      <xdr:col>3</xdr:col>
      <xdr:colOff>661446</xdr:colOff>
      <xdr:row>5</xdr:row>
      <xdr:rowOff>86591</xdr:rowOff>
    </xdr:to>
    <xdr:cxnSp macro="">
      <xdr:nvCxnSpPr>
        <xdr:cNvPr id="349" name="line02">
          <a:extLst>
            <a:ext uri="{FF2B5EF4-FFF2-40B4-BE49-F238E27FC236}">
              <a16:creationId xmlns:a16="http://schemas.microsoft.com/office/drawing/2014/main" id="{7EE24C80-EDEE-4188-9E90-A3B2AB6833AD}"/>
            </a:ext>
          </a:extLst>
        </xdr:cNvPr>
        <xdr:cNvCxnSpPr/>
      </xdr:nvCxnSpPr>
      <xdr:spPr>
        <a:xfrm flipV="1">
          <a:off x="2718846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14</xdr:row>
      <xdr:rowOff>159652</xdr:rowOff>
    </xdr:from>
    <xdr:to>
      <xdr:col>3</xdr:col>
      <xdr:colOff>661446</xdr:colOff>
      <xdr:row>14</xdr:row>
      <xdr:rowOff>159652</xdr:rowOff>
    </xdr:to>
    <xdr:cxnSp macro="">
      <xdr:nvCxnSpPr>
        <xdr:cNvPr id="350" name="line02">
          <a:extLst>
            <a:ext uri="{FF2B5EF4-FFF2-40B4-BE49-F238E27FC236}">
              <a16:creationId xmlns:a16="http://schemas.microsoft.com/office/drawing/2014/main" id="{935986C7-6ABC-490A-9ED9-04BCCEE71A11}"/>
            </a:ext>
          </a:extLst>
        </xdr:cNvPr>
        <xdr:cNvCxnSpPr/>
      </xdr:nvCxnSpPr>
      <xdr:spPr>
        <a:xfrm>
          <a:off x="1663520" y="3493402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10</xdr:row>
      <xdr:rowOff>56825</xdr:rowOff>
    </xdr:from>
    <xdr:to>
      <xdr:col>3</xdr:col>
      <xdr:colOff>661446</xdr:colOff>
      <xdr:row>10</xdr:row>
      <xdr:rowOff>56825</xdr:rowOff>
    </xdr:to>
    <xdr:cxnSp macro="">
      <xdr:nvCxnSpPr>
        <xdr:cNvPr id="351" name="line02">
          <a:extLst>
            <a:ext uri="{FF2B5EF4-FFF2-40B4-BE49-F238E27FC236}">
              <a16:creationId xmlns:a16="http://schemas.microsoft.com/office/drawing/2014/main" id="{3CC6EDD2-292C-40D1-A64A-4E8272BA94F7}"/>
            </a:ext>
          </a:extLst>
        </xdr:cNvPr>
        <xdr:cNvCxnSpPr/>
      </xdr:nvCxnSpPr>
      <xdr:spPr>
        <a:xfrm>
          <a:off x="1663520" y="2438075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291920</xdr:colOff>
      <xdr:row>10</xdr:row>
      <xdr:rowOff>56825</xdr:rowOff>
    </xdr:from>
    <xdr:to>
      <xdr:col>2</xdr:col>
      <xdr:colOff>291920</xdr:colOff>
      <xdr:row>14</xdr:row>
      <xdr:rowOff>159652</xdr:rowOff>
    </xdr:to>
    <xdr:cxnSp macro="">
      <xdr:nvCxnSpPr>
        <xdr:cNvPr id="352" name="line02">
          <a:extLst>
            <a:ext uri="{FF2B5EF4-FFF2-40B4-BE49-F238E27FC236}">
              <a16:creationId xmlns:a16="http://schemas.microsoft.com/office/drawing/2014/main" id="{D594DDE0-6C83-4FE8-96B8-C78B200EFC9C}"/>
            </a:ext>
          </a:extLst>
        </xdr:cNvPr>
        <xdr:cNvCxnSpPr/>
      </xdr:nvCxnSpPr>
      <xdr:spPr>
        <a:xfrm flipV="1">
          <a:off x="1663520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661446</xdr:colOff>
      <xdr:row>10</xdr:row>
      <xdr:rowOff>56825</xdr:rowOff>
    </xdr:from>
    <xdr:to>
      <xdr:col>3</xdr:col>
      <xdr:colOff>661446</xdr:colOff>
      <xdr:row>14</xdr:row>
      <xdr:rowOff>159652</xdr:rowOff>
    </xdr:to>
    <xdr:cxnSp macro="">
      <xdr:nvCxnSpPr>
        <xdr:cNvPr id="353" name="line02">
          <a:extLst>
            <a:ext uri="{FF2B5EF4-FFF2-40B4-BE49-F238E27FC236}">
              <a16:creationId xmlns:a16="http://schemas.microsoft.com/office/drawing/2014/main" id="{80268E31-990F-4859-A948-3AF1A1E36B76}"/>
            </a:ext>
          </a:extLst>
        </xdr:cNvPr>
        <xdr:cNvCxnSpPr/>
      </xdr:nvCxnSpPr>
      <xdr:spPr>
        <a:xfrm flipV="1">
          <a:off x="2718846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3</xdr:row>
      <xdr:rowOff>0</xdr:rowOff>
    </xdr:from>
    <xdr:to>
      <xdr:col>5</xdr:col>
      <xdr:colOff>635000</xdr:colOff>
      <xdr:row>7</xdr:row>
      <xdr:rowOff>32472</xdr:rowOff>
    </xdr:to>
    <xdr:cxnSp macro="">
      <xdr:nvCxnSpPr>
        <xdr:cNvPr id="354" name="line02">
          <a:extLst>
            <a:ext uri="{FF2B5EF4-FFF2-40B4-BE49-F238E27FC236}">
              <a16:creationId xmlns:a16="http://schemas.microsoft.com/office/drawing/2014/main" id="{C1502062-9B50-49DD-A527-3F53935E9AF4}"/>
            </a:ext>
          </a:extLst>
        </xdr:cNvPr>
        <xdr:cNvCxnSpPr/>
      </xdr:nvCxnSpPr>
      <xdr:spPr>
        <a:xfrm flipV="1">
          <a:off x="4092575" y="714375"/>
          <a:ext cx="0" cy="984972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86591</xdr:rowOff>
    </xdr:from>
    <xdr:to>
      <xdr:col>5</xdr:col>
      <xdr:colOff>317500</xdr:colOff>
      <xdr:row>7</xdr:row>
      <xdr:rowOff>32472</xdr:rowOff>
    </xdr:to>
    <xdr:cxnSp macro="">
      <xdr:nvCxnSpPr>
        <xdr:cNvPr id="355" name="line02">
          <a:extLst>
            <a:ext uri="{FF2B5EF4-FFF2-40B4-BE49-F238E27FC236}">
              <a16:creationId xmlns:a16="http://schemas.microsoft.com/office/drawing/2014/main" id="{F63F7CD7-732B-4278-AEC7-110BCAC2BFAF}"/>
            </a:ext>
          </a:extLst>
        </xdr:cNvPr>
        <xdr:cNvCxnSpPr/>
      </xdr:nvCxnSpPr>
      <xdr:spPr>
        <a:xfrm flipV="1">
          <a:off x="3775075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32472</xdr:rowOff>
    </xdr:from>
    <xdr:to>
      <xdr:col>6</xdr:col>
      <xdr:colOff>12700</xdr:colOff>
      <xdr:row>7</xdr:row>
      <xdr:rowOff>32472</xdr:rowOff>
    </xdr:to>
    <xdr:cxnSp macro="">
      <xdr:nvCxnSpPr>
        <xdr:cNvPr id="356" name="line02">
          <a:extLst>
            <a:ext uri="{FF2B5EF4-FFF2-40B4-BE49-F238E27FC236}">
              <a16:creationId xmlns:a16="http://schemas.microsoft.com/office/drawing/2014/main" id="{88C28781-DC4E-4148-B054-05807E56AB28}"/>
            </a:ext>
          </a:extLst>
        </xdr:cNvPr>
        <xdr:cNvCxnSpPr/>
      </xdr:nvCxnSpPr>
      <xdr:spPr>
        <a:xfrm>
          <a:off x="3521075" y="1699347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86591</xdr:rowOff>
    </xdr:from>
    <xdr:to>
      <xdr:col>5</xdr:col>
      <xdr:colOff>355600</xdr:colOff>
      <xdr:row>5</xdr:row>
      <xdr:rowOff>86591</xdr:rowOff>
    </xdr:to>
    <xdr:cxnSp macro="">
      <xdr:nvCxnSpPr>
        <xdr:cNvPr id="357" name="line02">
          <a:extLst>
            <a:ext uri="{FF2B5EF4-FFF2-40B4-BE49-F238E27FC236}">
              <a16:creationId xmlns:a16="http://schemas.microsoft.com/office/drawing/2014/main" id="{7D2BF222-5783-4A7B-B74A-AF5191AB4E59}"/>
            </a:ext>
          </a:extLst>
        </xdr:cNvPr>
        <xdr:cNvCxnSpPr/>
      </xdr:nvCxnSpPr>
      <xdr:spPr>
        <a:xfrm>
          <a:off x="3521075" y="1277216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17</xdr:row>
      <xdr:rowOff>142875</xdr:rowOff>
    </xdr:from>
    <xdr:to>
      <xdr:col>5</xdr:col>
      <xdr:colOff>0</xdr:colOff>
      <xdr:row>17</xdr:row>
      <xdr:rowOff>142875</xdr:rowOff>
    </xdr:to>
    <xdr:cxnSp macro="">
      <xdr:nvCxnSpPr>
        <xdr:cNvPr id="358" name="line02">
          <a:extLst>
            <a:ext uri="{FF2B5EF4-FFF2-40B4-BE49-F238E27FC236}">
              <a16:creationId xmlns:a16="http://schemas.microsoft.com/office/drawing/2014/main" id="{EBB71BEE-F669-44AE-A277-68DF1549472F}"/>
            </a:ext>
          </a:extLst>
        </xdr:cNvPr>
        <xdr:cNvCxnSpPr/>
      </xdr:nvCxnSpPr>
      <xdr:spPr>
        <a:xfrm>
          <a:off x="924791" y="4191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359" name="line02">
          <a:extLst>
            <a:ext uri="{FF2B5EF4-FFF2-40B4-BE49-F238E27FC236}">
              <a16:creationId xmlns:a16="http://schemas.microsoft.com/office/drawing/2014/main" id="{4E211AFB-B794-4D39-B802-A37B0CD719D8}"/>
            </a:ext>
          </a:extLst>
        </xdr:cNvPr>
        <xdr:cNvCxnSpPr/>
      </xdr:nvCxnSpPr>
      <xdr:spPr>
        <a:xfrm>
          <a:off x="924791" y="40005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238991</xdr:colOff>
      <xdr:row>16</xdr:row>
      <xdr:rowOff>38100</xdr:rowOff>
    </xdr:from>
    <xdr:to>
      <xdr:col>1</xdr:col>
      <xdr:colOff>238991</xdr:colOff>
      <xdr:row>17</xdr:row>
      <xdr:rowOff>142875</xdr:rowOff>
    </xdr:to>
    <xdr:cxnSp macro="">
      <xdr:nvCxnSpPr>
        <xdr:cNvPr id="360" name="line02">
          <a:extLst>
            <a:ext uri="{FF2B5EF4-FFF2-40B4-BE49-F238E27FC236}">
              <a16:creationId xmlns:a16="http://schemas.microsoft.com/office/drawing/2014/main" id="{F9404CEE-6F22-47F8-B26D-A7739F058821}"/>
            </a:ext>
          </a:extLst>
        </xdr:cNvPr>
        <xdr:cNvCxnSpPr/>
      </xdr:nvCxnSpPr>
      <xdr:spPr>
        <a:xfrm flipV="1">
          <a:off x="924791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142875</xdr:rowOff>
    </xdr:to>
    <xdr:cxnSp macro="">
      <xdr:nvCxnSpPr>
        <xdr:cNvPr id="361" name="line02">
          <a:extLst>
            <a:ext uri="{FF2B5EF4-FFF2-40B4-BE49-F238E27FC236}">
              <a16:creationId xmlns:a16="http://schemas.microsoft.com/office/drawing/2014/main" id="{8B6BFA2D-7A16-409B-B2D0-657F66368617}"/>
            </a:ext>
          </a:extLst>
        </xdr:cNvPr>
        <xdr:cNvCxnSpPr/>
      </xdr:nvCxnSpPr>
      <xdr:spPr>
        <a:xfrm flipV="1">
          <a:off x="3457575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8</xdr:row>
      <xdr:rowOff>216477</xdr:rowOff>
    </xdr:from>
    <xdr:to>
      <xdr:col>5</xdr:col>
      <xdr:colOff>635000</xdr:colOff>
      <xdr:row>16</xdr:row>
      <xdr:rowOff>0</xdr:rowOff>
    </xdr:to>
    <xdr:cxnSp macro="">
      <xdr:nvCxnSpPr>
        <xdr:cNvPr id="362" name="line02">
          <a:extLst>
            <a:ext uri="{FF2B5EF4-FFF2-40B4-BE49-F238E27FC236}">
              <a16:creationId xmlns:a16="http://schemas.microsoft.com/office/drawing/2014/main" id="{A917EE58-B948-477A-BE12-333573B9BE37}"/>
            </a:ext>
          </a:extLst>
        </xdr:cNvPr>
        <xdr:cNvCxnSpPr/>
      </xdr:nvCxnSpPr>
      <xdr:spPr>
        <a:xfrm flipV="1">
          <a:off x="4092575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216477</xdr:rowOff>
    </xdr:from>
    <xdr:to>
      <xdr:col>5</xdr:col>
      <xdr:colOff>317500</xdr:colOff>
      <xdr:row>16</xdr:row>
      <xdr:rowOff>0</xdr:rowOff>
    </xdr:to>
    <xdr:cxnSp macro="">
      <xdr:nvCxnSpPr>
        <xdr:cNvPr id="363" name="line02">
          <a:extLst>
            <a:ext uri="{FF2B5EF4-FFF2-40B4-BE49-F238E27FC236}">
              <a16:creationId xmlns:a16="http://schemas.microsoft.com/office/drawing/2014/main" id="{FA73743C-8A30-4728-9E99-D78A003DA728}"/>
            </a:ext>
          </a:extLst>
        </xdr:cNvPr>
        <xdr:cNvCxnSpPr/>
      </xdr:nvCxnSpPr>
      <xdr:spPr>
        <a:xfrm flipV="1">
          <a:off x="3775075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5</xdr:col>
      <xdr:colOff>660400</xdr:colOff>
      <xdr:row>16</xdr:row>
      <xdr:rowOff>0</xdr:rowOff>
    </xdr:to>
    <xdr:cxnSp macro="">
      <xdr:nvCxnSpPr>
        <xdr:cNvPr id="364" name="line02">
          <a:extLst>
            <a:ext uri="{FF2B5EF4-FFF2-40B4-BE49-F238E27FC236}">
              <a16:creationId xmlns:a16="http://schemas.microsoft.com/office/drawing/2014/main" id="{91BA348D-ED05-4ADD-B581-190CCB82AA42}"/>
            </a:ext>
          </a:extLst>
        </xdr:cNvPr>
        <xdr:cNvCxnSpPr/>
      </xdr:nvCxnSpPr>
      <xdr:spPr>
        <a:xfrm>
          <a:off x="3521075" y="38100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216477</xdr:rowOff>
    </xdr:from>
    <xdr:to>
      <xdr:col>5</xdr:col>
      <xdr:colOff>660400</xdr:colOff>
      <xdr:row>8</xdr:row>
      <xdr:rowOff>216477</xdr:rowOff>
    </xdr:to>
    <xdr:cxnSp macro="">
      <xdr:nvCxnSpPr>
        <xdr:cNvPr id="365" name="line02">
          <a:extLst>
            <a:ext uri="{FF2B5EF4-FFF2-40B4-BE49-F238E27FC236}">
              <a16:creationId xmlns:a16="http://schemas.microsoft.com/office/drawing/2014/main" id="{53C8790B-0430-4DB9-B642-B99FBD6CE264}"/>
            </a:ext>
          </a:extLst>
        </xdr:cNvPr>
        <xdr:cNvCxnSpPr/>
      </xdr:nvCxnSpPr>
      <xdr:spPr>
        <a:xfrm>
          <a:off x="3521075" y="2121477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5</xdr:col>
      <xdr:colOff>673100</xdr:colOff>
      <xdr:row>5</xdr:row>
      <xdr:rowOff>158750</xdr:rowOff>
    </xdr:to>
    <xdr:sp macro="" textlink="">
      <xdr:nvSpPr>
        <xdr:cNvPr id="366" name="textboxDf">
          <a:extLst>
            <a:ext uri="{FF2B5EF4-FFF2-40B4-BE49-F238E27FC236}">
              <a16:creationId xmlns:a16="http://schemas.microsoft.com/office/drawing/2014/main" id="{0E538925-1CDD-4D3D-A043-D90C758B638C}"/>
            </a:ext>
          </a:extLst>
        </xdr:cNvPr>
        <xdr:cNvSpPr txBox="1"/>
      </xdr:nvSpPr>
      <xdr:spPr>
        <a:xfrm rot="16200000">
          <a:off x="3686175" y="9048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4</xdr:row>
      <xdr:rowOff>48347</xdr:rowOff>
    </xdr:from>
    <xdr:to>
      <xdr:col>5</xdr:col>
      <xdr:colOff>381000</xdr:colOff>
      <xdr:row>6</xdr:row>
      <xdr:rowOff>207097</xdr:rowOff>
    </xdr:to>
    <xdr:sp macro="" textlink="">
      <xdr:nvSpPr>
        <xdr:cNvPr id="367" name="textboxD">
          <a:extLst>
            <a:ext uri="{FF2B5EF4-FFF2-40B4-BE49-F238E27FC236}">
              <a16:creationId xmlns:a16="http://schemas.microsoft.com/office/drawing/2014/main" id="{D6AB0217-131A-4CB3-895F-D3C33D3BBB02}"/>
            </a:ext>
          </a:extLst>
        </xdr:cNvPr>
        <xdr:cNvSpPr txBox="1"/>
      </xdr:nvSpPr>
      <xdr:spPr>
        <a:xfrm rot="16200000">
          <a:off x="3394075" y="1191347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225136</xdr:rowOff>
    </xdr:from>
    <xdr:to>
      <xdr:col>6</xdr:col>
      <xdr:colOff>12700</xdr:colOff>
      <xdr:row>13</xdr:row>
      <xdr:rowOff>145761</xdr:rowOff>
    </xdr:to>
    <xdr:sp macro="" textlink="">
      <xdr:nvSpPr>
        <xdr:cNvPr id="368" name="textboxB">
          <a:extLst>
            <a:ext uri="{FF2B5EF4-FFF2-40B4-BE49-F238E27FC236}">
              <a16:creationId xmlns:a16="http://schemas.microsoft.com/office/drawing/2014/main" id="{418B7827-A4E6-48D7-A554-41547914F414}"/>
            </a:ext>
          </a:extLst>
        </xdr:cNvPr>
        <xdr:cNvSpPr txBox="1"/>
      </xdr:nvSpPr>
      <xdr:spPr>
        <a:xfrm rot="16200000">
          <a:off x="3711575" y="279688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194830</xdr:rowOff>
    </xdr:from>
    <xdr:to>
      <xdr:col>5</xdr:col>
      <xdr:colOff>368300</xdr:colOff>
      <xdr:row>11</xdr:row>
      <xdr:rowOff>115455</xdr:rowOff>
    </xdr:to>
    <xdr:sp macro="" textlink="">
      <xdr:nvSpPr>
        <xdr:cNvPr id="369" name="textboxl2">
          <a:extLst>
            <a:ext uri="{FF2B5EF4-FFF2-40B4-BE49-F238E27FC236}">
              <a16:creationId xmlns:a16="http://schemas.microsoft.com/office/drawing/2014/main" id="{8C204196-DCDC-43FD-B014-CC5CEDD7772B}"/>
            </a:ext>
          </a:extLst>
        </xdr:cNvPr>
        <xdr:cNvSpPr txBox="1"/>
      </xdr:nvSpPr>
      <xdr:spPr>
        <a:xfrm rot="16200000">
          <a:off x="3381375" y="229033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219364</xdr:rowOff>
    </xdr:from>
    <xdr:to>
      <xdr:col>5</xdr:col>
      <xdr:colOff>368300</xdr:colOff>
      <xdr:row>15</xdr:row>
      <xdr:rowOff>28864</xdr:rowOff>
    </xdr:to>
    <xdr:sp macro="" textlink="">
      <xdr:nvSpPr>
        <xdr:cNvPr id="370" name="textboxex">
          <a:extLst>
            <a:ext uri="{FF2B5EF4-FFF2-40B4-BE49-F238E27FC236}">
              <a16:creationId xmlns:a16="http://schemas.microsoft.com/office/drawing/2014/main" id="{79C52292-C4A8-454E-8F1D-0B4F8C1A2DD1}"/>
            </a:ext>
          </a:extLst>
        </xdr:cNvPr>
        <xdr:cNvSpPr txBox="1"/>
      </xdr:nvSpPr>
      <xdr:spPr>
        <a:xfrm rot="16200000">
          <a:off x="3317875" y="3092739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566305</xdr:colOff>
      <xdr:row>16</xdr:row>
      <xdr:rowOff>190500</xdr:rowOff>
    </xdr:from>
    <xdr:to>
      <xdr:col>3</xdr:col>
      <xdr:colOff>515505</xdr:colOff>
      <xdr:row>17</xdr:row>
      <xdr:rowOff>206375</xdr:rowOff>
    </xdr:to>
    <xdr:sp macro="" textlink="">
      <xdr:nvSpPr>
        <xdr:cNvPr id="371" name="textboxl">
          <a:extLst>
            <a:ext uri="{FF2B5EF4-FFF2-40B4-BE49-F238E27FC236}">
              <a16:creationId xmlns:a16="http://schemas.microsoft.com/office/drawing/2014/main" id="{E47EE4A3-2BF2-48A0-90F5-F708A66108D5}"/>
            </a:ext>
          </a:extLst>
        </xdr:cNvPr>
        <xdr:cNvSpPr txBox="1"/>
      </xdr:nvSpPr>
      <xdr:spPr>
        <a:xfrm>
          <a:off x="1937905" y="4000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513701</xdr:colOff>
      <xdr:row>16</xdr:row>
      <xdr:rowOff>0</xdr:rowOff>
    </xdr:from>
    <xdr:to>
      <xdr:col>4</xdr:col>
      <xdr:colOff>462901</xdr:colOff>
      <xdr:row>17</xdr:row>
      <xdr:rowOff>15875</xdr:rowOff>
    </xdr:to>
    <xdr:sp macro="" textlink="">
      <xdr:nvSpPr>
        <xdr:cNvPr id="372" name="textboxl2">
          <a:extLst>
            <a:ext uri="{FF2B5EF4-FFF2-40B4-BE49-F238E27FC236}">
              <a16:creationId xmlns:a16="http://schemas.microsoft.com/office/drawing/2014/main" id="{0DA4CC26-0248-43C6-809D-06A14A65E173}"/>
            </a:ext>
          </a:extLst>
        </xdr:cNvPr>
        <xdr:cNvSpPr txBox="1"/>
      </xdr:nvSpPr>
      <xdr:spPr>
        <a:xfrm>
          <a:off x="2571101" y="38100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184583</xdr:colOff>
      <xdr:row>16</xdr:row>
      <xdr:rowOff>0</xdr:rowOff>
    </xdr:from>
    <xdr:to>
      <xdr:col>3</xdr:col>
      <xdr:colOff>387783</xdr:colOff>
      <xdr:row>17</xdr:row>
      <xdr:rowOff>15875</xdr:rowOff>
    </xdr:to>
    <xdr:sp macro="" textlink="">
      <xdr:nvSpPr>
        <xdr:cNvPr id="373" name="textboxex">
          <a:extLst>
            <a:ext uri="{FF2B5EF4-FFF2-40B4-BE49-F238E27FC236}">
              <a16:creationId xmlns:a16="http://schemas.microsoft.com/office/drawing/2014/main" id="{9A4AD704-EE18-4CD8-AC0C-769C26F1AA8F}"/>
            </a:ext>
          </a:extLst>
        </xdr:cNvPr>
        <xdr:cNvSpPr txBox="1"/>
      </xdr:nvSpPr>
      <xdr:spPr>
        <a:xfrm>
          <a:off x="1556183" y="38100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361" name="line01">
          <a:extLst>
            <a:ext uri="{FF2B5EF4-FFF2-40B4-BE49-F238E27FC236}">
              <a16:creationId xmlns:a16="http://schemas.microsoft.com/office/drawing/2014/main" id="{6F15A8F6-2A10-4FEA-A275-4E93B14AC64C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362" name="textbox01">
          <a:extLst>
            <a:ext uri="{FF2B5EF4-FFF2-40B4-BE49-F238E27FC236}">
              <a16:creationId xmlns:a16="http://schemas.microsoft.com/office/drawing/2014/main" id="{B0FF01EC-1A82-4459-A033-F819FB4AC4CE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363" name="line01">
          <a:extLst>
            <a:ext uri="{FF2B5EF4-FFF2-40B4-BE49-F238E27FC236}">
              <a16:creationId xmlns:a16="http://schemas.microsoft.com/office/drawing/2014/main" id="{23499EE7-B08F-464C-88BF-35AFDA5E0F44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364" name="line01">
          <a:extLst>
            <a:ext uri="{FF2B5EF4-FFF2-40B4-BE49-F238E27FC236}">
              <a16:creationId xmlns:a16="http://schemas.microsoft.com/office/drawing/2014/main" id="{82D33FAF-75E0-49DD-8CB6-8DDE624B1AB0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365" name="line01">
          <a:extLst>
            <a:ext uri="{FF2B5EF4-FFF2-40B4-BE49-F238E27FC236}">
              <a16:creationId xmlns:a16="http://schemas.microsoft.com/office/drawing/2014/main" id="{6CFCB0C3-599E-4EAD-8A53-D4B349A224E3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366" name="line01">
          <a:extLst>
            <a:ext uri="{FF2B5EF4-FFF2-40B4-BE49-F238E27FC236}">
              <a16:creationId xmlns:a16="http://schemas.microsoft.com/office/drawing/2014/main" id="{E4646856-474E-4B26-B5FC-6786199A7EC0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13367" name="line02">
          <a:extLst>
            <a:ext uri="{FF2B5EF4-FFF2-40B4-BE49-F238E27FC236}">
              <a16:creationId xmlns:a16="http://schemas.microsoft.com/office/drawing/2014/main" id="{EAFCCCBE-3E36-40AC-B4B2-D2491B02EB09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13368" name="line02">
          <a:extLst>
            <a:ext uri="{FF2B5EF4-FFF2-40B4-BE49-F238E27FC236}">
              <a16:creationId xmlns:a16="http://schemas.microsoft.com/office/drawing/2014/main" id="{1378233D-92AC-4EF1-B639-C920D23E7A66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13369" name="line02">
          <a:extLst>
            <a:ext uri="{FF2B5EF4-FFF2-40B4-BE49-F238E27FC236}">
              <a16:creationId xmlns:a16="http://schemas.microsoft.com/office/drawing/2014/main" id="{55E0C38C-74A0-4BDA-96B3-C929CEA2CE7E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13370" name="line02">
          <a:extLst>
            <a:ext uri="{FF2B5EF4-FFF2-40B4-BE49-F238E27FC236}">
              <a16:creationId xmlns:a16="http://schemas.microsoft.com/office/drawing/2014/main" id="{C7AD7C8E-E32D-4533-8E64-C49A0374620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13371" name="line02">
          <a:extLst>
            <a:ext uri="{FF2B5EF4-FFF2-40B4-BE49-F238E27FC236}">
              <a16:creationId xmlns:a16="http://schemas.microsoft.com/office/drawing/2014/main" id="{B121C1B4-2B99-4FE6-B3A2-84AA4D594DB5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13372" name="line02">
          <a:extLst>
            <a:ext uri="{FF2B5EF4-FFF2-40B4-BE49-F238E27FC236}">
              <a16:creationId xmlns:a16="http://schemas.microsoft.com/office/drawing/2014/main" id="{DB9FEBD8-E603-44AE-B7EE-93D96A36B355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13373" name="line02">
          <a:extLst>
            <a:ext uri="{FF2B5EF4-FFF2-40B4-BE49-F238E27FC236}">
              <a16:creationId xmlns:a16="http://schemas.microsoft.com/office/drawing/2014/main" id="{65A2D20E-595F-4029-8F3A-E54D513A445C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13374" name="line02">
          <a:extLst>
            <a:ext uri="{FF2B5EF4-FFF2-40B4-BE49-F238E27FC236}">
              <a16:creationId xmlns:a16="http://schemas.microsoft.com/office/drawing/2014/main" id="{6426B99A-649E-4715-8AAD-65E8D099DA8D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13375" name="line02">
          <a:extLst>
            <a:ext uri="{FF2B5EF4-FFF2-40B4-BE49-F238E27FC236}">
              <a16:creationId xmlns:a16="http://schemas.microsoft.com/office/drawing/2014/main" id="{4F1CC455-3091-4FED-8AB5-E789E44CC568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13376" name="line02">
          <a:extLst>
            <a:ext uri="{FF2B5EF4-FFF2-40B4-BE49-F238E27FC236}">
              <a16:creationId xmlns:a16="http://schemas.microsoft.com/office/drawing/2014/main" id="{6652F5EC-B99C-49DD-B533-C4CB90FB879B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13377" name="line02">
          <a:extLst>
            <a:ext uri="{FF2B5EF4-FFF2-40B4-BE49-F238E27FC236}">
              <a16:creationId xmlns:a16="http://schemas.microsoft.com/office/drawing/2014/main" id="{7905C567-09F3-4A8F-AF01-1F42FB980668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13378" name="line02">
          <a:extLst>
            <a:ext uri="{FF2B5EF4-FFF2-40B4-BE49-F238E27FC236}">
              <a16:creationId xmlns:a16="http://schemas.microsoft.com/office/drawing/2014/main" id="{6B5C9886-25CD-42BC-91AF-D63FA5196C5B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13379" name="line02">
          <a:extLst>
            <a:ext uri="{FF2B5EF4-FFF2-40B4-BE49-F238E27FC236}">
              <a16:creationId xmlns:a16="http://schemas.microsoft.com/office/drawing/2014/main" id="{98E3239A-DE86-43BF-8D49-572CE92ECE7E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13380" name="line02">
          <a:extLst>
            <a:ext uri="{FF2B5EF4-FFF2-40B4-BE49-F238E27FC236}">
              <a16:creationId xmlns:a16="http://schemas.microsoft.com/office/drawing/2014/main" id="{CE2E1722-14CE-4193-B576-10D617F7BFF8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13381" name="line02">
          <a:extLst>
            <a:ext uri="{FF2B5EF4-FFF2-40B4-BE49-F238E27FC236}">
              <a16:creationId xmlns:a16="http://schemas.microsoft.com/office/drawing/2014/main" id="{680A750C-167A-4681-837E-DF1849841E2B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13382" name="line02">
          <a:extLst>
            <a:ext uri="{FF2B5EF4-FFF2-40B4-BE49-F238E27FC236}">
              <a16:creationId xmlns:a16="http://schemas.microsoft.com/office/drawing/2014/main" id="{F04A010F-E304-4FB6-B80B-AABF8ADB4687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3383" name="line02">
          <a:extLst>
            <a:ext uri="{FF2B5EF4-FFF2-40B4-BE49-F238E27FC236}">
              <a16:creationId xmlns:a16="http://schemas.microsoft.com/office/drawing/2014/main" id="{25005EB1-F1D6-4061-A9FB-3CA955A30AA6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3384" name="line02">
          <a:extLst>
            <a:ext uri="{FF2B5EF4-FFF2-40B4-BE49-F238E27FC236}">
              <a16:creationId xmlns:a16="http://schemas.microsoft.com/office/drawing/2014/main" id="{8F99BD9D-6C66-4B97-9007-C606BDF76B8D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3385" name="line02">
          <a:extLst>
            <a:ext uri="{FF2B5EF4-FFF2-40B4-BE49-F238E27FC236}">
              <a16:creationId xmlns:a16="http://schemas.microsoft.com/office/drawing/2014/main" id="{E3539619-23A8-42C9-8FCE-2674EF66D072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3386" name="line02">
          <a:extLst>
            <a:ext uri="{FF2B5EF4-FFF2-40B4-BE49-F238E27FC236}">
              <a16:creationId xmlns:a16="http://schemas.microsoft.com/office/drawing/2014/main" id="{DB38E8B4-5D60-475C-8E83-5D7281D6CE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3387" name="line02">
          <a:extLst>
            <a:ext uri="{FF2B5EF4-FFF2-40B4-BE49-F238E27FC236}">
              <a16:creationId xmlns:a16="http://schemas.microsoft.com/office/drawing/2014/main" id="{76932F31-C803-4537-9F82-848E84EB9B04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3388" name="line02">
          <a:extLst>
            <a:ext uri="{FF2B5EF4-FFF2-40B4-BE49-F238E27FC236}">
              <a16:creationId xmlns:a16="http://schemas.microsoft.com/office/drawing/2014/main" id="{96E4EEA6-63F5-43C0-B63D-19E68750E324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3389" name="line02">
          <a:extLst>
            <a:ext uri="{FF2B5EF4-FFF2-40B4-BE49-F238E27FC236}">
              <a16:creationId xmlns:a16="http://schemas.microsoft.com/office/drawing/2014/main" id="{DB8D0FFB-28A9-456E-8CE6-63835CA56AB0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3390" name="line02">
          <a:extLst>
            <a:ext uri="{FF2B5EF4-FFF2-40B4-BE49-F238E27FC236}">
              <a16:creationId xmlns:a16="http://schemas.microsoft.com/office/drawing/2014/main" id="{D890368F-A1E4-43B5-B04E-ED772ED8ED24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3391" name="line02">
          <a:extLst>
            <a:ext uri="{FF2B5EF4-FFF2-40B4-BE49-F238E27FC236}">
              <a16:creationId xmlns:a16="http://schemas.microsoft.com/office/drawing/2014/main" id="{69BC562F-515A-47C0-B03A-2ADDEAA6A8C5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3392" name="line02">
          <a:extLst>
            <a:ext uri="{FF2B5EF4-FFF2-40B4-BE49-F238E27FC236}">
              <a16:creationId xmlns:a16="http://schemas.microsoft.com/office/drawing/2014/main" id="{105FF782-2444-4D91-B383-752FD9C08ED0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3393" name="textboxDf">
          <a:extLst>
            <a:ext uri="{FF2B5EF4-FFF2-40B4-BE49-F238E27FC236}">
              <a16:creationId xmlns:a16="http://schemas.microsoft.com/office/drawing/2014/main" id="{48D63155-CC1C-4E11-BB2C-B5091C2005F4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3394" name="textboxD">
          <a:extLst>
            <a:ext uri="{FF2B5EF4-FFF2-40B4-BE49-F238E27FC236}">
              <a16:creationId xmlns:a16="http://schemas.microsoft.com/office/drawing/2014/main" id="{57347FFE-2AED-456D-9572-5015258F629D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3395" name="textboxB">
          <a:extLst>
            <a:ext uri="{FF2B5EF4-FFF2-40B4-BE49-F238E27FC236}">
              <a16:creationId xmlns:a16="http://schemas.microsoft.com/office/drawing/2014/main" id="{F684641D-A3F3-4C7B-B8EA-6F50065EC164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3396" name="textboxl2">
          <a:extLst>
            <a:ext uri="{FF2B5EF4-FFF2-40B4-BE49-F238E27FC236}">
              <a16:creationId xmlns:a16="http://schemas.microsoft.com/office/drawing/2014/main" id="{E6851AAA-2CCD-4B2A-8B4A-B7ACFADDAC27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3397" name="textboxex">
          <a:extLst>
            <a:ext uri="{FF2B5EF4-FFF2-40B4-BE49-F238E27FC236}">
              <a16:creationId xmlns:a16="http://schemas.microsoft.com/office/drawing/2014/main" id="{070E3259-B335-4A14-AB91-2BD696E9BAB3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3398" name="textboxl">
          <a:extLst>
            <a:ext uri="{FF2B5EF4-FFF2-40B4-BE49-F238E27FC236}">
              <a16:creationId xmlns:a16="http://schemas.microsoft.com/office/drawing/2014/main" id="{BD7B05FA-EC45-402E-BBC6-7AD239410939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3399" name="textboxl2">
          <a:extLst>
            <a:ext uri="{FF2B5EF4-FFF2-40B4-BE49-F238E27FC236}">
              <a16:creationId xmlns:a16="http://schemas.microsoft.com/office/drawing/2014/main" id="{772BB1F5-584B-4C1B-A58D-A8089A6B5A58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3400" name="textboxex">
          <a:extLst>
            <a:ext uri="{FF2B5EF4-FFF2-40B4-BE49-F238E27FC236}">
              <a16:creationId xmlns:a16="http://schemas.microsoft.com/office/drawing/2014/main" id="{39FA44C4-EDC4-4081-BC65-99493B0F0D69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76200</xdr:colOff>
      <xdr:row>3</xdr:row>
      <xdr:rowOff>0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BD8AEA74-9AB6-42C6-80BA-A1D210FD42BA}"/>
            </a:ext>
          </a:extLst>
        </xdr:cNvPr>
        <xdr:cNvCxnSpPr/>
      </xdr:nvCxnSpPr>
      <xdr:spPr>
        <a:xfrm>
          <a:off x="685800" y="714375"/>
          <a:ext cx="3505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22225</xdr:rowOff>
    </xdr:from>
    <xdr:to>
      <xdr:col>1</xdr:col>
      <xdr:colOff>635000</xdr:colOff>
      <xdr:row>3</xdr:row>
      <xdr:rowOff>38100</xdr:rowOff>
    </xdr:to>
    <xdr:sp macro="" textlink="">
      <xdr:nvSpPr>
        <xdr:cNvPr id="56" name="textbox01">
          <a:extLst>
            <a:ext uri="{FF2B5EF4-FFF2-40B4-BE49-F238E27FC236}">
              <a16:creationId xmlns:a16="http://schemas.microsoft.com/office/drawing/2014/main" id="{930AFD84-B5E1-4287-ABF7-10B321ACF6FA}"/>
            </a:ext>
          </a:extLst>
        </xdr:cNvPr>
        <xdr:cNvSpPr txBox="1"/>
      </xdr:nvSpPr>
      <xdr:spPr>
        <a:xfrm>
          <a:off x="685800" y="4984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105208</xdr:colOff>
      <xdr:row>2</xdr:row>
      <xdr:rowOff>111125</xdr:rowOff>
    </xdr:from>
    <xdr:to>
      <xdr:col>3</xdr:col>
      <xdr:colOff>105208</xdr:colOff>
      <xdr:row>16</xdr:row>
      <xdr:rowOff>190500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0444DE44-320D-4F31-9ED4-5EBBB2EB944F}"/>
            </a:ext>
          </a:extLst>
        </xdr:cNvPr>
        <xdr:cNvCxnSpPr/>
      </xdr:nvCxnSpPr>
      <xdr:spPr>
        <a:xfrm flipV="1">
          <a:off x="2162608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105208</xdr:colOff>
      <xdr:row>2</xdr:row>
      <xdr:rowOff>111125</xdr:rowOff>
    </xdr:from>
    <xdr:to>
      <xdr:col>3</xdr:col>
      <xdr:colOff>105208</xdr:colOff>
      <xdr:row>16</xdr:row>
      <xdr:rowOff>190500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B65D4384-E780-4229-AC7B-06AF15279B61}"/>
            </a:ext>
          </a:extLst>
        </xdr:cNvPr>
        <xdr:cNvCxnSpPr/>
      </xdr:nvCxnSpPr>
      <xdr:spPr>
        <a:xfrm flipV="1">
          <a:off x="2162608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642216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59" name="line01">
          <a:extLst>
            <a:ext uri="{FF2B5EF4-FFF2-40B4-BE49-F238E27FC236}">
              <a16:creationId xmlns:a16="http://schemas.microsoft.com/office/drawing/2014/main" id="{9FD17064-ABA8-40DB-B928-8DE4DC64E580}"/>
            </a:ext>
          </a:extLst>
        </xdr:cNvPr>
        <xdr:cNvCxnSpPr/>
      </xdr:nvCxnSpPr>
      <xdr:spPr>
        <a:xfrm>
          <a:off x="642216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642216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60" name="line01">
          <a:extLst>
            <a:ext uri="{FF2B5EF4-FFF2-40B4-BE49-F238E27FC236}">
              <a16:creationId xmlns:a16="http://schemas.microsoft.com/office/drawing/2014/main" id="{CB451B9F-7F6B-41A1-AA21-C8D823205DB5}"/>
            </a:ext>
          </a:extLst>
        </xdr:cNvPr>
        <xdr:cNvCxnSpPr/>
      </xdr:nvCxnSpPr>
      <xdr:spPr>
        <a:xfrm>
          <a:off x="642216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F1F7BE0C-05F1-4DEA-B19B-446E17C2F98B}"/>
            </a:ext>
          </a:extLst>
        </xdr:cNvPr>
        <xdr:cNvCxnSpPr/>
      </xdr:nvCxnSpPr>
      <xdr:spPr>
        <a:xfrm>
          <a:off x="896216" y="3810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8</xdr:row>
      <xdr:rowOff>216477</xdr:rowOff>
    </xdr:from>
    <xdr:to>
      <xdr:col>5</xdr:col>
      <xdr:colOff>0</xdr:colOff>
      <xdr:row>8</xdr:row>
      <xdr:rowOff>216477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9EDCB2C1-1EFD-4321-9176-BCB9D08F6F60}"/>
            </a:ext>
          </a:extLst>
        </xdr:cNvPr>
        <xdr:cNvCxnSpPr/>
      </xdr:nvCxnSpPr>
      <xdr:spPr>
        <a:xfrm>
          <a:off x="896216" y="212147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8</xdr:row>
      <xdr:rowOff>216477</xdr:rowOff>
    </xdr:from>
    <xdr:to>
      <xdr:col>1</xdr:col>
      <xdr:colOff>210416</xdr:colOff>
      <xdr:row>16</xdr:row>
      <xdr:rowOff>0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B72563DD-036B-4EAE-AA90-22BD7AE2AB6E}"/>
            </a:ext>
          </a:extLst>
        </xdr:cNvPr>
        <xdr:cNvCxnSpPr/>
      </xdr:nvCxnSpPr>
      <xdr:spPr>
        <a:xfrm flipV="1">
          <a:off x="896216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216477</xdr:rowOff>
    </xdr:from>
    <xdr:to>
      <xdr:col>5</xdr:col>
      <xdr:colOff>0</xdr:colOff>
      <xdr:row>16</xdr:row>
      <xdr:rowOff>0</xdr:rowOff>
    </xdr:to>
    <xdr:cxnSp macro="">
      <xdr:nvCxnSpPr>
        <xdr:cNvPr id="64" name="line02">
          <a:extLst>
            <a:ext uri="{FF2B5EF4-FFF2-40B4-BE49-F238E27FC236}">
              <a16:creationId xmlns:a16="http://schemas.microsoft.com/office/drawing/2014/main" id="{FE7B7A3F-F7A4-4EBC-9CC1-5AE6490766B3}"/>
            </a:ext>
          </a:extLst>
        </xdr:cNvPr>
        <xdr:cNvCxnSpPr/>
      </xdr:nvCxnSpPr>
      <xdr:spPr>
        <a:xfrm flipV="1">
          <a:off x="34290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7</xdr:row>
      <xdr:rowOff>32472</xdr:rowOff>
    </xdr:from>
    <xdr:to>
      <xdr:col>5</xdr:col>
      <xdr:colOff>0</xdr:colOff>
      <xdr:row>7</xdr:row>
      <xdr:rowOff>32472</xdr:rowOff>
    </xdr:to>
    <xdr:cxnSp macro="">
      <xdr:nvCxnSpPr>
        <xdr:cNvPr id="65" name="line02">
          <a:extLst>
            <a:ext uri="{FF2B5EF4-FFF2-40B4-BE49-F238E27FC236}">
              <a16:creationId xmlns:a16="http://schemas.microsoft.com/office/drawing/2014/main" id="{7EE4D8CA-1676-42D3-9342-BDFB40065C39}"/>
            </a:ext>
          </a:extLst>
        </xdr:cNvPr>
        <xdr:cNvCxnSpPr/>
      </xdr:nvCxnSpPr>
      <xdr:spPr>
        <a:xfrm>
          <a:off x="896216" y="169934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5</xdr:row>
      <xdr:rowOff>86591</xdr:rowOff>
    </xdr:from>
    <xdr:to>
      <xdr:col>5</xdr:col>
      <xdr:colOff>0</xdr:colOff>
      <xdr:row>5</xdr:row>
      <xdr:rowOff>86591</xdr:rowOff>
    </xdr:to>
    <xdr:cxnSp macro="">
      <xdr:nvCxnSpPr>
        <xdr:cNvPr id="66" name="line02">
          <a:extLst>
            <a:ext uri="{FF2B5EF4-FFF2-40B4-BE49-F238E27FC236}">
              <a16:creationId xmlns:a16="http://schemas.microsoft.com/office/drawing/2014/main" id="{AC7679DD-C2F2-4E80-8FF3-EE845E49180D}"/>
            </a:ext>
          </a:extLst>
        </xdr:cNvPr>
        <xdr:cNvCxnSpPr/>
      </xdr:nvCxnSpPr>
      <xdr:spPr>
        <a:xfrm>
          <a:off x="896216" y="1277216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5</xdr:row>
      <xdr:rowOff>86591</xdr:rowOff>
    </xdr:from>
    <xdr:to>
      <xdr:col>1</xdr:col>
      <xdr:colOff>210416</xdr:colOff>
      <xdr:row>7</xdr:row>
      <xdr:rowOff>32472</xdr:rowOff>
    </xdr:to>
    <xdr:cxnSp macro="">
      <xdr:nvCxnSpPr>
        <xdr:cNvPr id="67" name="line02">
          <a:extLst>
            <a:ext uri="{FF2B5EF4-FFF2-40B4-BE49-F238E27FC236}">
              <a16:creationId xmlns:a16="http://schemas.microsoft.com/office/drawing/2014/main" id="{0351EF4E-43B5-4EB8-B305-E8F7F008C929}"/>
            </a:ext>
          </a:extLst>
        </xdr:cNvPr>
        <xdr:cNvCxnSpPr/>
      </xdr:nvCxnSpPr>
      <xdr:spPr>
        <a:xfrm flipV="1">
          <a:off x="896216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86591</xdr:rowOff>
    </xdr:from>
    <xdr:to>
      <xdr:col>5</xdr:col>
      <xdr:colOff>0</xdr:colOff>
      <xdr:row>7</xdr:row>
      <xdr:rowOff>32472</xdr:rowOff>
    </xdr:to>
    <xdr:cxnSp macro="">
      <xdr:nvCxnSpPr>
        <xdr:cNvPr id="68" name="line02">
          <a:extLst>
            <a:ext uri="{FF2B5EF4-FFF2-40B4-BE49-F238E27FC236}">
              <a16:creationId xmlns:a16="http://schemas.microsoft.com/office/drawing/2014/main" id="{51BD61D6-F989-4C36-AF86-0B85337774AC}"/>
            </a:ext>
          </a:extLst>
        </xdr:cNvPr>
        <xdr:cNvCxnSpPr/>
      </xdr:nvCxnSpPr>
      <xdr:spPr>
        <a:xfrm flipV="1">
          <a:off x="3429000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3</xdr:row>
      <xdr:rowOff>0</xdr:rowOff>
    </xdr:from>
    <xdr:to>
      <xdr:col>2</xdr:col>
      <xdr:colOff>263345</xdr:colOff>
      <xdr:row>5</xdr:row>
      <xdr:rowOff>86591</xdr:rowOff>
    </xdr:to>
    <xdr:cxnSp macro="">
      <xdr:nvCxnSpPr>
        <xdr:cNvPr id="69" name="line02">
          <a:extLst>
            <a:ext uri="{FF2B5EF4-FFF2-40B4-BE49-F238E27FC236}">
              <a16:creationId xmlns:a16="http://schemas.microsoft.com/office/drawing/2014/main" id="{366BA755-9F3E-4C0E-BD60-92F6776A009A}"/>
            </a:ext>
          </a:extLst>
        </xdr:cNvPr>
        <xdr:cNvCxnSpPr/>
      </xdr:nvCxnSpPr>
      <xdr:spPr>
        <a:xfrm flipV="1">
          <a:off x="1634945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632871</xdr:colOff>
      <xdr:row>3</xdr:row>
      <xdr:rowOff>0</xdr:rowOff>
    </xdr:from>
    <xdr:to>
      <xdr:col>3</xdr:col>
      <xdr:colOff>632871</xdr:colOff>
      <xdr:row>5</xdr:row>
      <xdr:rowOff>86591</xdr:rowOff>
    </xdr:to>
    <xdr:cxnSp macro="">
      <xdr:nvCxnSpPr>
        <xdr:cNvPr id="70" name="line02">
          <a:extLst>
            <a:ext uri="{FF2B5EF4-FFF2-40B4-BE49-F238E27FC236}">
              <a16:creationId xmlns:a16="http://schemas.microsoft.com/office/drawing/2014/main" id="{10B0F895-4B7D-44C8-A807-08B184545F98}"/>
            </a:ext>
          </a:extLst>
        </xdr:cNvPr>
        <xdr:cNvCxnSpPr/>
      </xdr:nvCxnSpPr>
      <xdr:spPr>
        <a:xfrm flipV="1">
          <a:off x="2690271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14</xdr:row>
      <xdr:rowOff>159652</xdr:rowOff>
    </xdr:from>
    <xdr:to>
      <xdr:col>3</xdr:col>
      <xdr:colOff>632871</xdr:colOff>
      <xdr:row>14</xdr:row>
      <xdr:rowOff>159652</xdr:rowOff>
    </xdr:to>
    <xdr:cxnSp macro="">
      <xdr:nvCxnSpPr>
        <xdr:cNvPr id="71" name="line02">
          <a:extLst>
            <a:ext uri="{FF2B5EF4-FFF2-40B4-BE49-F238E27FC236}">
              <a16:creationId xmlns:a16="http://schemas.microsoft.com/office/drawing/2014/main" id="{FAD95870-0A96-4E97-8AA4-8F84DE17EBC6}"/>
            </a:ext>
          </a:extLst>
        </xdr:cNvPr>
        <xdr:cNvCxnSpPr/>
      </xdr:nvCxnSpPr>
      <xdr:spPr>
        <a:xfrm>
          <a:off x="1634945" y="3493402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10</xdr:row>
      <xdr:rowOff>56825</xdr:rowOff>
    </xdr:from>
    <xdr:to>
      <xdr:col>3</xdr:col>
      <xdr:colOff>632871</xdr:colOff>
      <xdr:row>10</xdr:row>
      <xdr:rowOff>56825</xdr:rowOff>
    </xdr:to>
    <xdr:cxnSp macro="">
      <xdr:nvCxnSpPr>
        <xdr:cNvPr id="72" name="line02">
          <a:extLst>
            <a:ext uri="{FF2B5EF4-FFF2-40B4-BE49-F238E27FC236}">
              <a16:creationId xmlns:a16="http://schemas.microsoft.com/office/drawing/2014/main" id="{1CA73E11-0A31-455E-969B-EA02FC063125}"/>
            </a:ext>
          </a:extLst>
        </xdr:cNvPr>
        <xdr:cNvCxnSpPr/>
      </xdr:nvCxnSpPr>
      <xdr:spPr>
        <a:xfrm>
          <a:off x="1634945" y="2438075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10</xdr:row>
      <xdr:rowOff>56825</xdr:rowOff>
    </xdr:from>
    <xdr:to>
      <xdr:col>2</xdr:col>
      <xdr:colOff>263345</xdr:colOff>
      <xdr:row>14</xdr:row>
      <xdr:rowOff>159652</xdr:rowOff>
    </xdr:to>
    <xdr:cxnSp macro="">
      <xdr:nvCxnSpPr>
        <xdr:cNvPr id="73" name="line02">
          <a:extLst>
            <a:ext uri="{FF2B5EF4-FFF2-40B4-BE49-F238E27FC236}">
              <a16:creationId xmlns:a16="http://schemas.microsoft.com/office/drawing/2014/main" id="{3D1E97A0-A6BD-442D-948E-6D03AEFFCFE0}"/>
            </a:ext>
          </a:extLst>
        </xdr:cNvPr>
        <xdr:cNvCxnSpPr/>
      </xdr:nvCxnSpPr>
      <xdr:spPr>
        <a:xfrm flipV="1">
          <a:off x="1634945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632871</xdr:colOff>
      <xdr:row>10</xdr:row>
      <xdr:rowOff>56825</xdr:rowOff>
    </xdr:from>
    <xdr:to>
      <xdr:col>3</xdr:col>
      <xdr:colOff>632871</xdr:colOff>
      <xdr:row>14</xdr:row>
      <xdr:rowOff>159652</xdr:rowOff>
    </xdr:to>
    <xdr:cxnSp macro="">
      <xdr:nvCxnSpPr>
        <xdr:cNvPr id="74" name="line02">
          <a:extLst>
            <a:ext uri="{FF2B5EF4-FFF2-40B4-BE49-F238E27FC236}">
              <a16:creationId xmlns:a16="http://schemas.microsoft.com/office/drawing/2014/main" id="{17B17CE3-D5DF-454E-9188-C4908C92B876}"/>
            </a:ext>
          </a:extLst>
        </xdr:cNvPr>
        <xdr:cNvCxnSpPr/>
      </xdr:nvCxnSpPr>
      <xdr:spPr>
        <a:xfrm flipV="1">
          <a:off x="2690271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3</xdr:row>
      <xdr:rowOff>0</xdr:rowOff>
    </xdr:from>
    <xdr:to>
      <xdr:col>5</xdr:col>
      <xdr:colOff>635000</xdr:colOff>
      <xdr:row>7</xdr:row>
      <xdr:rowOff>32472</xdr:rowOff>
    </xdr:to>
    <xdr:cxnSp macro="">
      <xdr:nvCxnSpPr>
        <xdr:cNvPr id="75" name="line02">
          <a:extLst>
            <a:ext uri="{FF2B5EF4-FFF2-40B4-BE49-F238E27FC236}">
              <a16:creationId xmlns:a16="http://schemas.microsoft.com/office/drawing/2014/main" id="{A78774D3-3598-4C14-8051-4646E8FEB9CF}"/>
            </a:ext>
          </a:extLst>
        </xdr:cNvPr>
        <xdr:cNvCxnSpPr/>
      </xdr:nvCxnSpPr>
      <xdr:spPr>
        <a:xfrm flipV="1">
          <a:off x="4064000" y="714375"/>
          <a:ext cx="0" cy="984972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86591</xdr:rowOff>
    </xdr:from>
    <xdr:to>
      <xdr:col>5</xdr:col>
      <xdr:colOff>317500</xdr:colOff>
      <xdr:row>7</xdr:row>
      <xdr:rowOff>32472</xdr:rowOff>
    </xdr:to>
    <xdr:cxnSp macro="">
      <xdr:nvCxnSpPr>
        <xdr:cNvPr id="76" name="line02">
          <a:extLst>
            <a:ext uri="{FF2B5EF4-FFF2-40B4-BE49-F238E27FC236}">
              <a16:creationId xmlns:a16="http://schemas.microsoft.com/office/drawing/2014/main" id="{34F07F93-2248-4153-9679-F8775DD57343}"/>
            </a:ext>
          </a:extLst>
        </xdr:cNvPr>
        <xdr:cNvCxnSpPr/>
      </xdr:nvCxnSpPr>
      <xdr:spPr>
        <a:xfrm flipV="1">
          <a:off x="3746500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32472</xdr:rowOff>
    </xdr:from>
    <xdr:to>
      <xdr:col>6</xdr:col>
      <xdr:colOff>12700</xdr:colOff>
      <xdr:row>7</xdr:row>
      <xdr:rowOff>32472</xdr:rowOff>
    </xdr:to>
    <xdr:cxnSp macro="">
      <xdr:nvCxnSpPr>
        <xdr:cNvPr id="77" name="line02">
          <a:extLst>
            <a:ext uri="{FF2B5EF4-FFF2-40B4-BE49-F238E27FC236}">
              <a16:creationId xmlns:a16="http://schemas.microsoft.com/office/drawing/2014/main" id="{7081F97D-1BFE-47C4-B79A-87F68C5A22C5}"/>
            </a:ext>
          </a:extLst>
        </xdr:cNvPr>
        <xdr:cNvCxnSpPr/>
      </xdr:nvCxnSpPr>
      <xdr:spPr>
        <a:xfrm>
          <a:off x="3492500" y="1699347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86591</xdr:rowOff>
    </xdr:from>
    <xdr:to>
      <xdr:col>5</xdr:col>
      <xdr:colOff>355600</xdr:colOff>
      <xdr:row>5</xdr:row>
      <xdr:rowOff>86591</xdr:rowOff>
    </xdr:to>
    <xdr:cxnSp macro="">
      <xdr:nvCxnSpPr>
        <xdr:cNvPr id="78" name="line02">
          <a:extLst>
            <a:ext uri="{FF2B5EF4-FFF2-40B4-BE49-F238E27FC236}">
              <a16:creationId xmlns:a16="http://schemas.microsoft.com/office/drawing/2014/main" id="{1C1AA6E5-D677-4BEA-B56B-D82DAE73333B}"/>
            </a:ext>
          </a:extLst>
        </xdr:cNvPr>
        <xdr:cNvCxnSpPr/>
      </xdr:nvCxnSpPr>
      <xdr:spPr>
        <a:xfrm>
          <a:off x="3492500" y="1277216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17</xdr:row>
      <xdr:rowOff>142875</xdr:rowOff>
    </xdr:from>
    <xdr:to>
      <xdr:col>5</xdr:col>
      <xdr:colOff>0</xdr:colOff>
      <xdr:row>17</xdr:row>
      <xdr:rowOff>142875</xdr:rowOff>
    </xdr:to>
    <xdr:cxnSp macro="">
      <xdr:nvCxnSpPr>
        <xdr:cNvPr id="79" name="line02">
          <a:extLst>
            <a:ext uri="{FF2B5EF4-FFF2-40B4-BE49-F238E27FC236}">
              <a16:creationId xmlns:a16="http://schemas.microsoft.com/office/drawing/2014/main" id="{D0B65858-7C70-4FDB-B11A-94F4D374474B}"/>
            </a:ext>
          </a:extLst>
        </xdr:cNvPr>
        <xdr:cNvCxnSpPr/>
      </xdr:nvCxnSpPr>
      <xdr:spPr>
        <a:xfrm>
          <a:off x="896216" y="4191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80" name="line02">
          <a:extLst>
            <a:ext uri="{FF2B5EF4-FFF2-40B4-BE49-F238E27FC236}">
              <a16:creationId xmlns:a16="http://schemas.microsoft.com/office/drawing/2014/main" id="{DE5058A8-4FA2-4F2A-9FFB-7F01FE4DBB24}"/>
            </a:ext>
          </a:extLst>
        </xdr:cNvPr>
        <xdr:cNvCxnSpPr/>
      </xdr:nvCxnSpPr>
      <xdr:spPr>
        <a:xfrm>
          <a:off x="896216" y="40005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38100</xdr:rowOff>
    </xdr:from>
    <xdr:to>
      <xdr:col>1</xdr:col>
      <xdr:colOff>210416</xdr:colOff>
      <xdr:row>17</xdr:row>
      <xdr:rowOff>142875</xdr:rowOff>
    </xdr:to>
    <xdr:cxnSp macro="">
      <xdr:nvCxnSpPr>
        <xdr:cNvPr id="81" name="line02">
          <a:extLst>
            <a:ext uri="{FF2B5EF4-FFF2-40B4-BE49-F238E27FC236}">
              <a16:creationId xmlns:a16="http://schemas.microsoft.com/office/drawing/2014/main" id="{5B05246F-05F1-4393-AFDD-86DAD9B3DBD2}"/>
            </a:ext>
          </a:extLst>
        </xdr:cNvPr>
        <xdr:cNvCxnSpPr/>
      </xdr:nvCxnSpPr>
      <xdr:spPr>
        <a:xfrm flipV="1">
          <a:off x="896216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142875</xdr:rowOff>
    </xdr:to>
    <xdr:cxnSp macro="">
      <xdr:nvCxnSpPr>
        <xdr:cNvPr id="82" name="line02">
          <a:extLst>
            <a:ext uri="{FF2B5EF4-FFF2-40B4-BE49-F238E27FC236}">
              <a16:creationId xmlns:a16="http://schemas.microsoft.com/office/drawing/2014/main" id="{25CA3AA0-1EF1-41B9-9E12-A26C4A5F84F6}"/>
            </a:ext>
          </a:extLst>
        </xdr:cNvPr>
        <xdr:cNvCxnSpPr/>
      </xdr:nvCxnSpPr>
      <xdr:spPr>
        <a:xfrm flipV="1">
          <a:off x="3429000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8</xdr:row>
      <xdr:rowOff>216477</xdr:rowOff>
    </xdr:from>
    <xdr:to>
      <xdr:col>5</xdr:col>
      <xdr:colOff>635000</xdr:colOff>
      <xdr:row>16</xdr:row>
      <xdr:rowOff>0</xdr:rowOff>
    </xdr:to>
    <xdr:cxnSp macro="">
      <xdr:nvCxnSpPr>
        <xdr:cNvPr id="83" name="line02">
          <a:extLst>
            <a:ext uri="{FF2B5EF4-FFF2-40B4-BE49-F238E27FC236}">
              <a16:creationId xmlns:a16="http://schemas.microsoft.com/office/drawing/2014/main" id="{B4D7AB61-AB7B-4E18-9FA3-A897E2E8DDAC}"/>
            </a:ext>
          </a:extLst>
        </xdr:cNvPr>
        <xdr:cNvCxnSpPr/>
      </xdr:nvCxnSpPr>
      <xdr:spPr>
        <a:xfrm flipV="1">
          <a:off x="40640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216477</xdr:rowOff>
    </xdr:from>
    <xdr:to>
      <xdr:col>5</xdr:col>
      <xdr:colOff>317500</xdr:colOff>
      <xdr:row>16</xdr:row>
      <xdr:rowOff>0</xdr:rowOff>
    </xdr:to>
    <xdr:cxnSp macro="">
      <xdr:nvCxnSpPr>
        <xdr:cNvPr id="84" name="line02">
          <a:extLst>
            <a:ext uri="{FF2B5EF4-FFF2-40B4-BE49-F238E27FC236}">
              <a16:creationId xmlns:a16="http://schemas.microsoft.com/office/drawing/2014/main" id="{7E18FE57-82F7-481F-902F-ADD2B790B0B1}"/>
            </a:ext>
          </a:extLst>
        </xdr:cNvPr>
        <xdr:cNvCxnSpPr/>
      </xdr:nvCxnSpPr>
      <xdr:spPr>
        <a:xfrm flipV="1">
          <a:off x="37465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5</xdr:col>
      <xdr:colOff>660400</xdr:colOff>
      <xdr:row>16</xdr:row>
      <xdr:rowOff>0</xdr:rowOff>
    </xdr:to>
    <xdr:cxnSp macro="">
      <xdr:nvCxnSpPr>
        <xdr:cNvPr id="85" name="line02">
          <a:extLst>
            <a:ext uri="{FF2B5EF4-FFF2-40B4-BE49-F238E27FC236}">
              <a16:creationId xmlns:a16="http://schemas.microsoft.com/office/drawing/2014/main" id="{3488FE44-2C97-40CC-B5DF-C77B7C909231}"/>
            </a:ext>
          </a:extLst>
        </xdr:cNvPr>
        <xdr:cNvCxnSpPr/>
      </xdr:nvCxnSpPr>
      <xdr:spPr>
        <a:xfrm>
          <a:off x="3492500" y="38100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216477</xdr:rowOff>
    </xdr:from>
    <xdr:to>
      <xdr:col>5</xdr:col>
      <xdr:colOff>660400</xdr:colOff>
      <xdr:row>8</xdr:row>
      <xdr:rowOff>216477</xdr:rowOff>
    </xdr:to>
    <xdr:cxnSp macro="">
      <xdr:nvCxnSpPr>
        <xdr:cNvPr id="86" name="line02">
          <a:extLst>
            <a:ext uri="{FF2B5EF4-FFF2-40B4-BE49-F238E27FC236}">
              <a16:creationId xmlns:a16="http://schemas.microsoft.com/office/drawing/2014/main" id="{6F75B051-4668-4956-BBBB-204E4E9A2F76}"/>
            </a:ext>
          </a:extLst>
        </xdr:cNvPr>
        <xdr:cNvCxnSpPr/>
      </xdr:nvCxnSpPr>
      <xdr:spPr>
        <a:xfrm>
          <a:off x="3492500" y="2121477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5</xdr:col>
      <xdr:colOff>673100</xdr:colOff>
      <xdr:row>5</xdr:row>
      <xdr:rowOff>158750</xdr:rowOff>
    </xdr:to>
    <xdr:sp macro="" textlink="">
      <xdr:nvSpPr>
        <xdr:cNvPr id="87" name="textboxDf">
          <a:extLst>
            <a:ext uri="{FF2B5EF4-FFF2-40B4-BE49-F238E27FC236}">
              <a16:creationId xmlns:a16="http://schemas.microsoft.com/office/drawing/2014/main" id="{7FE37A02-FDAF-460A-9A7E-456F1AF90123}"/>
            </a:ext>
          </a:extLst>
        </xdr:cNvPr>
        <xdr:cNvSpPr txBox="1"/>
      </xdr:nvSpPr>
      <xdr:spPr>
        <a:xfrm rot="16200000">
          <a:off x="3657600" y="9048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4</xdr:row>
      <xdr:rowOff>48347</xdr:rowOff>
    </xdr:from>
    <xdr:to>
      <xdr:col>5</xdr:col>
      <xdr:colOff>381000</xdr:colOff>
      <xdr:row>6</xdr:row>
      <xdr:rowOff>207097</xdr:rowOff>
    </xdr:to>
    <xdr:sp macro="" textlink="">
      <xdr:nvSpPr>
        <xdr:cNvPr id="88" name="textboxD">
          <a:extLst>
            <a:ext uri="{FF2B5EF4-FFF2-40B4-BE49-F238E27FC236}">
              <a16:creationId xmlns:a16="http://schemas.microsoft.com/office/drawing/2014/main" id="{D597A88B-25DA-4C50-B00B-F81F5370007B}"/>
            </a:ext>
          </a:extLst>
        </xdr:cNvPr>
        <xdr:cNvSpPr txBox="1"/>
      </xdr:nvSpPr>
      <xdr:spPr>
        <a:xfrm rot="16200000">
          <a:off x="3365500" y="1191347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225136</xdr:rowOff>
    </xdr:from>
    <xdr:to>
      <xdr:col>6</xdr:col>
      <xdr:colOff>12700</xdr:colOff>
      <xdr:row>13</xdr:row>
      <xdr:rowOff>145761</xdr:rowOff>
    </xdr:to>
    <xdr:sp macro="" textlink="">
      <xdr:nvSpPr>
        <xdr:cNvPr id="89" name="textboxB">
          <a:extLst>
            <a:ext uri="{FF2B5EF4-FFF2-40B4-BE49-F238E27FC236}">
              <a16:creationId xmlns:a16="http://schemas.microsoft.com/office/drawing/2014/main" id="{FE1FB1F4-BF3C-4092-A8A7-0CE69C73C857}"/>
            </a:ext>
          </a:extLst>
        </xdr:cNvPr>
        <xdr:cNvSpPr txBox="1"/>
      </xdr:nvSpPr>
      <xdr:spPr>
        <a:xfrm rot="16200000">
          <a:off x="3683000" y="279688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194830</xdr:rowOff>
    </xdr:from>
    <xdr:to>
      <xdr:col>5</xdr:col>
      <xdr:colOff>368300</xdr:colOff>
      <xdr:row>11</xdr:row>
      <xdr:rowOff>115455</xdr:rowOff>
    </xdr:to>
    <xdr:sp macro="" textlink="">
      <xdr:nvSpPr>
        <xdr:cNvPr id="90" name="textboxl2">
          <a:extLst>
            <a:ext uri="{FF2B5EF4-FFF2-40B4-BE49-F238E27FC236}">
              <a16:creationId xmlns:a16="http://schemas.microsoft.com/office/drawing/2014/main" id="{F16176EB-0556-4134-AD20-68BE98AEFD75}"/>
            </a:ext>
          </a:extLst>
        </xdr:cNvPr>
        <xdr:cNvSpPr txBox="1"/>
      </xdr:nvSpPr>
      <xdr:spPr>
        <a:xfrm rot="16200000">
          <a:off x="3352800" y="229033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219364</xdr:rowOff>
    </xdr:from>
    <xdr:to>
      <xdr:col>5</xdr:col>
      <xdr:colOff>368300</xdr:colOff>
      <xdr:row>15</xdr:row>
      <xdr:rowOff>28864</xdr:rowOff>
    </xdr:to>
    <xdr:sp macro="" textlink="">
      <xdr:nvSpPr>
        <xdr:cNvPr id="91" name="textboxex">
          <a:extLst>
            <a:ext uri="{FF2B5EF4-FFF2-40B4-BE49-F238E27FC236}">
              <a16:creationId xmlns:a16="http://schemas.microsoft.com/office/drawing/2014/main" id="{2D7D77CE-A82A-43F7-B8CC-991EEB402DB7}"/>
            </a:ext>
          </a:extLst>
        </xdr:cNvPr>
        <xdr:cNvSpPr txBox="1"/>
      </xdr:nvSpPr>
      <xdr:spPr>
        <a:xfrm rot="16200000">
          <a:off x="3289300" y="3092739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537730</xdr:colOff>
      <xdr:row>16</xdr:row>
      <xdr:rowOff>190500</xdr:rowOff>
    </xdr:from>
    <xdr:to>
      <xdr:col>3</xdr:col>
      <xdr:colOff>486930</xdr:colOff>
      <xdr:row>17</xdr:row>
      <xdr:rowOff>206375</xdr:rowOff>
    </xdr:to>
    <xdr:sp macro="" textlink="">
      <xdr:nvSpPr>
        <xdr:cNvPr id="92" name="textboxl">
          <a:extLst>
            <a:ext uri="{FF2B5EF4-FFF2-40B4-BE49-F238E27FC236}">
              <a16:creationId xmlns:a16="http://schemas.microsoft.com/office/drawing/2014/main" id="{DE48B65D-86CC-41DF-956B-BDD36207551C}"/>
            </a:ext>
          </a:extLst>
        </xdr:cNvPr>
        <xdr:cNvSpPr txBox="1"/>
      </xdr:nvSpPr>
      <xdr:spPr>
        <a:xfrm>
          <a:off x="1909330" y="4000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485126</xdr:colOff>
      <xdr:row>16</xdr:row>
      <xdr:rowOff>0</xdr:rowOff>
    </xdr:from>
    <xdr:to>
      <xdr:col>4</xdr:col>
      <xdr:colOff>434326</xdr:colOff>
      <xdr:row>17</xdr:row>
      <xdr:rowOff>15875</xdr:rowOff>
    </xdr:to>
    <xdr:sp macro="" textlink="">
      <xdr:nvSpPr>
        <xdr:cNvPr id="93" name="textboxl2">
          <a:extLst>
            <a:ext uri="{FF2B5EF4-FFF2-40B4-BE49-F238E27FC236}">
              <a16:creationId xmlns:a16="http://schemas.microsoft.com/office/drawing/2014/main" id="{79BF82E2-B9EF-43C2-8017-1A44635DDBB4}"/>
            </a:ext>
          </a:extLst>
        </xdr:cNvPr>
        <xdr:cNvSpPr txBox="1"/>
      </xdr:nvSpPr>
      <xdr:spPr>
        <a:xfrm>
          <a:off x="2542526" y="38100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156008</xdr:colOff>
      <xdr:row>16</xdr:row>
      <xdr:rowOff>0</xdr:rowOff>
    </xdr:from>
    <xdr:to>
      <xdr:col>3</xdr:col>
      <xdr:colOff>359208</xdr:colOff>
      <xdr:row>17</xdr:row>
      <xdr:rowOff>15875</xdr:rowOff>
    </xdr:to>
    <xdr:sp macro="" textlink="">
      <xdr:nvSpPr>
        <xdr:cNvPr id="94" name="textboxex">
          <a:extLst>
            <a:ext uri="{FF2B5EF4-FFF2-40B4-BE49-F238E27FC236}">
              <a16:creationId xmlns:a16="http://schemas.microsoft.com/office/drawing/2014/main" id="{0289EF1A-72C0-4D1B-86BA-45D66B2F3BAF}"/>
            </a:ext>
          </a:extLst>
        </xdr:cNvPr>
        <xdr:cNvSpPr txBox="1"/>
      </xdr:nvSpPr>
      <xdr:spPr>
        <a:xfrm>
          <a:off x="1527608" y="38100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J14"/>
  <sheetViews>
    <sheetView tabSelected="1" workbookViewId="0">
      <selection activeCell="F23" sqref="F23"/>
    </sheetView>
  </sheetViews>
  <sheetFormatPr defaultRowHeight="18.75" x14ac:dyDescent="0.4"/>
  <cols>
    <col min="5" max="5" width="9.375" bestFit="1" customWidth="1"/>
  </cols>
  <sheetData>
    <row r="1" spans="1:10" x14ac:dyDescent="0.4">
      <c r="A1" t="s">
        <v>77</v>
      </c>
      <c r="B1">
        <v>3</v>
      </c>
      <c r="C1">
        <v>3.4</v>
      </c>
      <c r="D1">
        <v>5</v>
      </c>
      <c r="E1">
        <v>0.60000002384185791</v>
      </c>
      <c r="F1">
        <v>1</v>
      </c>
      <c r="G1">
        <v>1</v>
      </c>
      <c r="H1">
        <v>2</v>
      </c>
      <c r="I1">
        <v>2</v>
      </c>
    </row>
    <row r="2" spans="1:10" x14ac:dyDescent="0.4">
      <c r="A2" t="s">
        <v>76</v>
      </c>
      <c r="B2">
        <v>3.4</v>
      </c>
    </row>
    <row r="3" spans="1:10" x14ac:dyDescent="0.25">
      <c r="A3" t="s">
        <v>66</v>
      </c>
      <c r="B3" s="16">
        <f>COUNT(B4:B9)</f>
        <v>4</v>
      </c>
      <c r="C3" s="40" t="s">
        <v>60</v>
      </c>
      <c r="E3" s="40" t="s">
        <v>61</v>
      </c>
    </row>
    <row r="4" spans="1:10" x14ac:dyDescent="0.25">
      <c r="B4" s="16">
        <v>1</v>
      </c>
      <c r="C4" s="40" t="s">
        <v>62</v>
      </c>
      <c r="D4">
        <v>16</v>
      </c>
      <c r="E4" s="40">
        <v>0.6</v>
      </c>
      <c r="F4">
        <f>E4</f>
        <v>0.6</v>
      </c>
      <c r="G4">
        <v>16</v>
      </c>
      <c r="H4">
        <v>3.4000000953674316</v>
      </c>
      <c r="I4">
        <v>0.60000002384185791</v>
      </c>
      <c r="J4">
        <v>16</v>
      </c>
    </row>
    <row r="5" spans="1:10" x14ac:dyDescent="0.25">
      <c r="B5" s="16">
        <v>2</v>
      </c>
      <c r="C5" s="40" t="s">
        <v>63</v>
      </c>
      <c r="D5">
        <v>15</v>
      </c>
      <c r="E5" s="40">
        <v>2.8</v>
      </c>
      <c r="F5">
        <f>E5+F4</f>
        <v>3.4</v>
      </c>
      <c r="G5">
        <v>15</v>
      </c>
      <c r="H5">
        <v>3</v>
      </c>
      <c r="I5">
        <v>3</v>
      </c>
      <c r="J5">
        <v>15</v>
      </c>
    </row>
    <row r="6" spans="1:10" x14ac:dyDescent="0.25">
      <c r="B6" s="16">
        <v>3</v>
      </c>
      <c r="C6" s="40" t="s">
        <v>63</v>
      </c>
      <c r="D6">
        <v>18</v>
      </c>
      <c r="E6" s="40">
        <v>8.8000000000000007</v>
      </c>
      <c r="F6">
        <f t="shared" ref="F6:F7" si="0">E6+F5</f>
        <v>12.200000000000001</v>
      </c>
      <c r="G6">
        <v>18</v>
      </c>
      <c r="H6">
        <v>0.60000002384185791</v>
      </c>
      <c r="I6">
        <v>3.4000000953674316</v>
      </c>
      <c r="J6">
        <v>15</v>
      </c>
    </row>
    <row r="7" spans="1:10" x14ac:dyDescent="0.25">
      <c r="B7" s="16">
        <v>4</v>
      </c>
      <c r="C7" s="40" t="s">
        <v>64</v>
      </c>
      <c r="D7">
        <v>16</v>
      </c>
      <c r="E7" s="40">
        <v>2</v>
      </c>
      <c r="F7">
        <f t="shared" si="0"/>
        <v>14.200000000000001</v>
      </c>
      <c r="G7">
        <v>16</v>
      </c>
      <c r="H7">
        <v>3.4000000953674316</v>
      </c>
      <c r="I7">
        <v>12.199999809265137</v>
      </c>
      <c r="J7">
        <v>18</v>
      </c>
    </row>
    <row r="8" spans="1:10" x14ac:dyDescent="0.4">
      <c r="G8">
        <v>0</v>
      </c>
      <c r="H8">
        <v>12.199999809265137</v>
      </c>
      <c r="I8">
        <v>14.199999809265137</v>
      </c>
      <c r="J8">
        <v>16</v>
      </c>
    </row>
    <row r="9" spans="1:10" x14ac:dyDescent="0.4">
      <c r="H9">
        <v>14.199999809265137</v>
      </c>
      <c r="I9">
        <v>14.199999809265137</v>
      </c>
      <c r="J9">
        <v>0</v>
      </c>
    </row>
    <row r="10" spans="1:10" x14ac:dyDescent="0.4">
      <c r="B10">
        <v>0</v>
      </c>
    </row>
    <row r="11" spans="1:10" x14ac:dyDescent="0.4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</row>
    <row r="12" spans="1:10" x14ac:dyDescent="0.4">
      <c r="A12">
        <v>0.60000002384185791</v>
      </c>
    </row>
    <row r="14" spans="1:10" x14ac:dyDescent="0.4">
      <c r="B14">
        <v>14.199999809265137</v>
      </c>
      <c r="C14">
        <v>14.199999809265137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opLeftCell="A10" workbookViewId="0">
      <selection activeCell="G19" sqref="G19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2.4025137318992198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5.7977091549474595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tr">
        <f>input!C4</f>
        <v>埋め土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43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5.7660329565581288</v>
      </c>
      <c r="H37" s="2" t="s">
        <v>36</v>
      </c>
      <c r="I37" s="45">
        <f>K29*K4/1000*K15</f>
        <v>1066.7784845103326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B7A3-44F1-439C-B964-7E09029D2BF8}">
  <sheetPr codeName="Sheet4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input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2020-11-01T05:24:06Z</cp:lastPrinted>
  <dcterms:created xsi:type="dcterms:W3CDTF">2020-07-08T04:03:42Z</dcterms:created>
  <dcterms:modified xsi:type="dcterms:W3CDTF">2020-11-10T05:02:35Z</dcterms:modified>
</cp:coreProperties>
</file>