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ipi\github\excel_foudation\"/>
    </mc:Choice>
  </mc:AlternateContent>
  <xr:revisionPtr revIDLastSave="0" documentId="13_ncr:1_{53CE3020-290B-431B-AE89-BA6AAA9B39A6}" xr6:coauthVersionLast="45" xr6:coauthVersionMax="45" xr10:uidLastSave="{00000000-0000-0000-0000-000000000000}"/>
  <bookViews>
    <workbookView xWindow="-120" yWindow="-120" windowWidth="20730" windowHeight="11160" activeTab="1" xr2:uid="{FE712974-A990-474E-9082-08B877A1FB98}"/>
  </bookViews>
  <sheets>
    <sheet name="Sheet1" sheetId="1" r:id="rId1"/>
    <sheet name="input" sheetId="4" r:id="rId2"/>
    <sheet name="Sheet1 (2)" sheetId="3" r:id="rId3"/>
    <sheet name="Sheet2" sheetId="5" r:id="rId4"/>
  </sheets>
  <functionGroups builtInGroupCount="19"/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3" l="1"/>
  <c r="I37" i="3"/>
  <c r="G37" i="3"/>
  <c r="D31" i="3"/>
  <c r="D26" i="3"/>
  <c r="D25" i="3"/>
  <c r="D20" i="3"/>
  <c r="F6" i="4" l="1"/>
  <c r="F7" i="4"/>
  <c r="F5" i="4"/>
  <c r="F4" i="4"/>
  <c r="B3" i="4"/>
  <c r="K17" i="3" l="1"/>
  <c r="C20" i="1"/>
  <c r="D27" i="3" l="1"/>
  <c r="D33" i="3" s="1"/>
  <c r="K18" i="3" l="1"/>
  <c r="K8" i="3"/>
  <c r="K7" i="3"/>
  <c r="F24" i="1"/>
  <c r="F25" i="1"/>
  <c r="K19" i="1"/>
  <c r="K18" i="1"/>
  <c r="H34" i="1"/>
  <c r="I34" i="1" s="1"/>
  <c r="J34" i="1" s="1"/>
  <c r="H33" i="1"/>
  <c r="I33" i="1" s="1"/>
  <c r="J33" i="1" s="1"/>
  <c r="K8" i="1"/>
  <c r="K7" i="1"/>
  <c r="K13" i="1"/>
  <c r="K15" i="1"/>
  <c r="K14" i="1"/>
  <c r="K13" i="3"/>
  <c r="K15" i="3"/>
  <c r="K14" i="3"/>
  <c r="E37" i="3" l="1"/>
  <c r="E39" i="1"/>
  <c r="I43" i="1"/>
  <c r="E43" i="1"/>
  <c r="I39" i="1"/>
  <c r="K34" i="1"/>
  <c r="G43" i="1" s="1"/>
  <c r="K33" i="1"/>
  <c r="G39" i="1" s="1"/>
  <c r="K37" i="3" l="1"/>
  <c r="G43" i="3" s="1"/>
  <c r="K43" i="1"/>
  <c r="K39" i="1"/>
  <c r="K40" i="3" l="1"/>
  <c r="G45" i="3" s="1"/>
</calcChain>
</file>

<file path=xl/sharedStrings.xml><?xml version="1.0" encoding="utf-8"?>
<sst xmlns="http://schemas.openxmlformats.org/spreadsheetml/2006/main" count="144" uniqueCount="90">
  <si>
    <t xml:space="preserve"> </t>
  </si>
  <si>
    <t xml:space="preserve">  Df=</t>
  </si>
  <si>
    <t>mm</t>
    <phoneticPr fontId="3"/>
  </si>
  <si>
    <t>ボーリングNO：</t>
    <phoneticPr fontId="3"/>
  </si>
  <si>
    <t xml:space="preserve">   B=</t>
    <phoneticPr fontId="3"/>
  </si>
  <si>
    <t>支持層：</t>
    <phoneticPr fontId="3"/>
  </si>
  <si>
    <t>Ｎ値：</t>
    <phoneticPr fontId="3"/>
  </si>
  <si>
    <t>D=</t>
    <phoneticPr fontId="4"/>
  </si>
  <si>
    <t>CB=</t>
    <phoneticPr fontId="4"/>
  </si>
  <si>
    <t xml:space="preserve">   ￠=ﾙｰﾄ(20N)+15°=</t>
  </si>
  <si>
    <t>CD=</t>
    <phoneticPr fontId="4"/>
  </si>
  <si>
    <t xml:space="preserve">   C= 6.25N =</t>
    <phoneticPr fontId="3"/>
  </si>
  <si>
    <t>eX=</t>
    <phoneticPr fontId="4"/>
  </si>
  <si>
    <t>eY=</t>
    <phoneticPr fontId="4"/>
  </si>
  <si>
    <t>○支持力係数</t>
  </si>
  <si>
    <t>　　Ｎｃ=</t>
  </si>
  <si>
    <t>　　Ｎｒ=</t>
  </si>
  <si>
    <t>　　Ｎｑ=</t>
  </si>
  <si>
    <t xml:space="preserve">○形状係数  </t>
    <phoneticPr fontId="3"/>
  </si>
  <si>
    <t>γ１=</t>
    <phoneticPr fontId="3"/>
  </si>
  <si>
    <t>kN/m3</t>
    <phoneticPr fontId="3"/>
  </si>
  <si>
    <t>(基礎底面下土平均単位体積重量）</t>
    <rPh sb="1" eb="3">
      <t>キソ</t>
    </rPh>
    <rPh sb="3" eb="5">
      <t>テイメン</t>
    </rPh>
    <rPh sb="5" eb="6">
      <t>カ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</si>
  <si>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γ２=</t>
    <phoneticPr fontId="3"/>
  </si>
  <si>
    <t>(基礎底面上土平均単位体積重量）</t>
    <rPh sb="1" eb="3">
      <t>キソ</t>
    </rPh>
    <rPh sb="3" eb="5">
      <t>テイメン</t>
    </rPh>
    <rPh sb="5" eb="6">
      <t>ウエ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</si>
  <si>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○斜め荷重の影響</t>
    <rPh sb="1" eb="2">
      <t>ナナ</t>
    </rPh>
    <rPh sb="3" eb="5">
      <t>カジュウ</t>
    </rPh>
    <rPh sb="6" eb="8">
      <t>エイキョウ</t>
    </rPh>
    <phoneticPr fontId="3"/>
  </si>
  <si>
    <t>N</t>
    <phoneticPr fontId="4"/>
  </si>
  <si>
    <t>H</t>
    <phoneticPr fontId="4"/>
  </si>
  <si>
    <t>N/H</t>
    <phoneticPr fontId="4"/>
  </si>
  <si>
    <t>θ</t>
    <phoneticPr fontId="5"/>
  </si>
  <si>
    <t>ic,iq</t>
    <phoneticPr fontId="5"/>
  </si>
  <si>
    <t>ir</t>
    <phoneticPr fontId="5"/>
  </si>
  <si>
    <t>長期</t>
    <rPh sb="0" eb="2">
      <t>チョウキ</t>
    </rPh>
    <phoneticPr fontId="4"/>
  </si>
  <si>
    <t>短期</t>
    <rPh sb="0" eb="2">
      <t>タンキ</t>
    </rPh>
    <phoneticPr fontId="4"/>
  </si>
  <si>
    <t>（1）長期，地盤の許容応力度</t>
    <rPh sb="3" eb="5">
      <t>チョウキ</t>
    </rPh>
    <phoneticPr fontId="4"/>
  </si>
  <si>
    <t>lｑa=</t>
    <phoneticPr fontId="3"/>
  </si>
  <si>
    <t>1/3 x (</t>
  </si>
  <si>
    <t>+</t>
  </si>
  <si>
    <t xml:space="preserve"> )   =</t>
    <phoneticPr fontId="4"/>
  </si>
  <si>
    <t>（2）短期期，地盤の許容応力度</t>
    <rPh sb="3" eb="5">
      <t>タンキ</t>
    </rPh>
    <rPh sb="5" eb="6">
      <t>キ</t>
    </rPh>
    <phoneticPr fontId="4"/>
  </si>
  <si>
    <t>sｑa=</t>
    <phoneticPr fontId="3"/>
  </si>
  <si>
    <t>2/3 x (</t>
    <phoneticPr fontId="4"/>
  </si>
  <si>
    <t>kN／㎡</t>
    <phoneticPr fontId="3"/>
  </si>
  <si>
    <t>上記の結果により、設計地耐力を</t>
  </si>
  <si>
    <t>kN／㎡（長期）</t>
    <phoneticPr fontId="3"/>
  </si>
  <si>
    <t>kN／㎡（短期）とする。</t>
    <rPh sb="5" eb="6">
      <t>タン</t>
    </rPh>
    <phoneticPr fontId="3"/>
  </si>
  <si>
    <t>水位　GL-</t>
    <rPh sb="0" eb="2">
      <t>スイイ</t>
    </rPh>
    <phoneticPr fontId="4"/>
  </si>
  <si>
    <t>粘性土</t>
  </si>
  <si>
    <t>L=</t>
    <phoneticPr fontId="2"/>
  </si>
  <si>
    <r>
      <t>1/3(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</si>
  <si>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r>
      <t>2/3(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</si>
  <si>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t>γ１'=</t>
    <phoneticPr fontId="3"/>
  </si>
  <si>
    <t>γ２'=</t>
    <phoneticPr fontId="3"/>
  </si>
  <si>
    <t>mm</t>
    <phoneticPr fontId="4"/>
  </si>
  <si>
    <t>α= 1+0.2*B/L =</t>
    <phoneticPr fontId="3"/>
  </si>
  <si>
    <t>β=0.5-0.2*B/L=</t>
    <phoneticPr fontId="3"/>
  </si>
  <si>
    <t>下部層土質：</t>
    <rPh sb="0" eb="2">
      <t>カブ</t>
    </rPh>
    <rPh sb="3" eb="5">
      <t>ドシツ</t>
    </rPh>
    <phoneticPr fontId="3"/>
  </si>
  <si>
    <t>砂質土</t>
  </si>
  <si>
    <t>1/3(αCNc+βγ1BNr+γ2HNq)    　[kN/㎡]</t>
    <phoneticPr fontId="3"/>
  </si>
  <si>
    <t>土質</t>
    <rPh sb="0" eb="2">
      <t>ドシツ</t>
    </rPh>
    <phoneticPr fontId="2"/>
  </si>
  <si>
    <t>層厚</t>
    <rPh sb="0" eb="2">
      <t>ソウアツ</t>
    </rPh>
    <phoneticPr fontId="2"/>
  </si>
  <si>
    <t>埋め土</t>
    <rPh sb="0" eb="1">
      <t>ウ</t>
    </rPh>
    <rPh sb="2" eb="3">
      <t>ツチ</t>
    </rPh>
    <phoneticPr fontId="2"/>
  </si>
  <si>
    <t>砂</t>
    <rPh sb="0" eb="1">
      <t>スナ</t>
    </rPh>
    <phoneticPr fontId="2"/>
  </si>
  <si>
    <t>粘土</t>
    <rPh sb="0" eb="2">
      <t>ネンド</t>
    </rPh>
    <phoneticPr fontId="2"/>
  </si>
  <si>
    <t>層数</t>
    <rPh sb="0" eb="1">
      <t>ソウ</t>
    </rPh>
    <rPh sb="1" eb="2">
      <t>スウ</t>
    </rPh>
    <phoneticPr fontId="2"/>
  </si>
  <si>
    <t>sqa=2*lqa=</t>
    <phoneticPr fontId="2"/>
  </si>
  <si>
    <t>H=</t>
    <phoneticPr fontId="2"/>
  </si>
  <si>
    <t>p=</t>
    <phoneticPr fontId="2"/>
  </si>
  <si>
    <t>γ=</t>
    <phoneticPr fontId="2"/>
  </si>
  <si>
    <t>γ＊Df=</t>
    <phoneticPr fontId="2"/>
  </si>
  <si>
    <t>WL</t>
    <phoneticPr fontId="2"/>
  </si>
  <si>
    <t>γ＊H=</t>
    <phoneticPr fontId="2"/>
  </si>
  <si>
    <t>B'=B+H-df=</t>
    <phoneticPr fontId="2"/>
  </si>
  <si>
    <t>L'=L+H-df=</t>
    <phoneticPr fontId="2"/>
  </si>
  <si>
    <t>B*L/(B'*L')=</t>
    <phoneticPr fontId="2"/>
  </si>
  <si>
    <t>P'=</t>
    <phoneticPr fontId="2"/>
  </si>
  <si>
    <t>B*L/{(B+H-Df)*(L+H-Df)}*(P-Γ*Df)+Γ*H</t>
    <phoneticPr fontId="2"/>
  </si>
  <si>
    <t>長期</t>
    <rPh sb="0" eb="2">
      <t>チョウキ</t>
    </rPh>
    <phoneticPr fontId="2"/>
  </si>
  <si>
    <t>短期</t>
    <rPh sb="0" eb="2">
      <t>タンキ</t>
    </rPh>
    <phoneticPr fontId="2"/>
  </si>
  <si>
    <t>P'/lqa=</t>
    <phoneticPr fontId="2"/>
  </si>
  <si>
    <t>2*P'/sqa=</t>
    <phoneticPr fontId="2"/>
  </si>
  <si>
    <t>(3)判定</t>
    <rPh sb="3" eb="5">
      <t>ハンテイ</t>
    </rPh>
    <phoneticPr fontId="2"/>
  </si>
  <si>
    <t>(1)長期，地盤の許容応力度</t>
    <rPh sb="3" eb="5">
      <t>チョウキ</t>
    </rPh>
    <phoneticPr fontId="4"/>
  </si>
  <si>
    <t>(2)短期期，地盤の許容応力度</t>
    <rPh sb="3" eb="5">
      <t>タンキ</t>
    </rPh>
    <rPh sb="5" eb="6">
      <t>キ</t>
    </rPh>
    <phoneticPr fontId="4"/>
  </si>
  <si>
    <t>土平均単位体積重量</t>
    <rPh sb="0" eb="1">
      <t>ツチ</t>
    </rPh>
    <rPh sb="1" eb="3">
      <t>ヘイキン</t>
    </rPh>
    <rPh sb="3" eb="5">
      <t>タンイ</t>
    </rPh>
    <rPh sb="5" eb="7">
      <t>タイセキ</t>
    </rPh>
    <rPh sb="7" eb="9">
      <t>ジュウリョウ</t>
    </rPh>
    <phoneticPr fontId="3"/>
  </si>
  <si>
    <t>二層地盤面下</t>
    <rPh sb="0" eb="2">
      <t>ニソウ</t>
    </rPh>
    <rPh sb="2" eb="4">
      <t>ジバン</t>
    </rPh>
    <rPh sb="4" eb="5">
      <t>メン</t>
    </rPh>
    <rPh sb="5" eb="6">
      <t>カ</t>
    </rPh>
    <phoneticPr fontId="3"/>
  </si>
  <si>
    <t>二層地盤面上</t>
    <rPh sb="0" eb="2">
      <t>ニソウ</t>
    </rPh>
    <rPh sb="2" eb="4">
      <t>ジバン</t>
    </rPh>
    <rPh sb="4" eb="5">
      <t>メン</t>
    </rPh>
    <rPh sb="5" eb="6">
      <t>ウエ</t>
    </rPh>
    <phoneticPr fontId="3"/>
  </si>
  <si>
    <t>二層地盤の検討</t>
    <rPh sb="0" eb="2">
      <t>ニソウ</t>
    </rPh>
    <rPh sb="2" eb="4">
      <t>ジバン</t>
    </rPh>
    <rPh sb="5" eb="7">
      <t>ケントウ</t>
    </rPh>
    <phoneticPr fontId="2"/>
  </si>
  <si>
    <t>mm</t>
    <phoneticPr fontId="2"/>
  </si>
  <si>
    <t>kN/m2</t>
    <phoneticPr fontId="2"/>
  </si>
  <si>
    <t>kN/m3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</si>
</sst>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.0"/>
    <numFmt numFmtId="178" formatCode="0.00_ "/>
    <numFmt numFmtId="179" formatCode="0.000_ "/>
    <numFmt numFmtId="180" formatCode="&quot;ft=&quot;0.0_ "/>
    <numFmt numFmtId="181" formatCode="0_ "/>
  </numFmts>
  <fonts count="12" x14ac:knownFonts="1">
    <font>
      <sz val="11"/>
      <color theme="1"/>
      <name val="游ゴシック"/>
      <family val="2"/>
      <charset val="128"/>
      <scheme val="minor"/>
    </font>
    <font>
      <sz val="14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7"/>
      <name val="ＭＳ Ｐ明朝"/>
      <family val="1"/>
      <charset val="128"/>
    </font>
    <font>
      <sz val="11"/>
      <name val="Meiryo UI"/>
      <family val="3"/>
      <charset val="128"/>
    </font>
    <font>
      <sz val="11"/>
      <color indexed="12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indexed="10"/>
      <name val="Meiryo UI"/>
      <family val="3"/>
      <charset val="128"/>
    </font>
    <font>
      <sz val="11"/>
      <color indexed="10"/>
      <name val="Meiryo UI"/>
      <family val="3"/>
      <charset val="128"/>
    </font>
    <font>
      <sz val="11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" fillId="0" borderId="0"/>
  </cellStyleXfs>
  <cellXfs count="53">
    <xf numFmtId="0" fontId="0" fillId="0" borderId="0" xfId="0">
      <alignment vertical="center"/>
    </xf>
    <xf numFmtId="0" fontId="6" fillId="0" borderId="0" xfId="1" applyFont="1" applyBorder="1" applyAlignment="1">
      <alignment horizontal="right"/>
    </xf>
    <xf numFmtId="0" fontId="6" fillId="0" borderId="0" xfId="1" applyFont="1" applyFill="1" applyAlignment="1">
      <alignment horizontal="center"/>
    </xf>
    <xf numFmtId="0" fontId="6" fillId="0" borderId="0" xfId="1" applyFont="1" applyFill="1"/>
    <xf numFmtId="0" fontId="6" fillId="0" borderId="0" xfId="1" applyFont="1" applyAlignment="1">
      <alignment horizontal="right"/>
    </xf>
    <xf numFmtId="0" fontId="6" fillId="0" borderId="0" xfId="1" quotePrefix="1" applyFont="1" applyFill="1" applyAlignment="1">
      <alignment horizontal="left"/>
    </xf>
    <xf numFmtId="0" fontId="8" fillId="0" borderId="0" xfId="0" applyFont="1">
      <alignment vertical="center"/>
    </xf>
    <xf numFmtId="0" fontId="6" fillId="0" borderId="0" xfId="1" applyFont="1"/>
    <xf numFmtId="0" fontId="9" fillId="0" borderId="0" xfId="2" applyFont="1"/>
    <xf numFmtId="0" fontId="6" fillId="0" borderId="0" xfId="1" applyFont="1" applyBorder="1"/>
    <xf numFmtId="0" fontId="7" fillId="0" borderId="0" xfId="1" applyFont="1" applyBorder="1" applyProtection="1">
      <protection locked="0"/>
    </xf>
    <xf numFmtId="0" fontId="7" fillId="0" borderId="0" xfId="1" applyFont="1" applyBorder="1" applyAlignment="1" applyProtection="1">
      <alignment horizontal="center"/>
      <protection locked="0"/>
    </xf>
    <xf numFmtId="0" fontId="6" fillId="0" borderId="0" xfId="1" applyFont="1" applyAlignment="1">
      <alignment horizontal="center"/>
    </xf>
    <xf numFmtId="0" fontId="6" fillId="0" borderId="0" xfId="1" applyFont="1" applyFill="1" applyBorder="1"/>
    <xf numFmtId="0" fontId="7" fillId="0" borderId="0" xfId="1" applyFont="1" applyFill="1" applyBorder="1" applyProtection="1">
      <protection locked="0"/>
    </xf>
    <xf numFmtId="0" fontId="6" fillId="0" borderId="0" xfId="1" applyFont="1" applyFill="1" applyBorder="1" applyAlignment="1">
      <alignment horizontal="right"/>
    </xf>
    <xf numFmtId="0" fontId="6" fillId="0" borderId="0" xfId="1" applyFont="1" applyFill="1" applyAlignment="1">
      <alignment horizontal="right"/>
    </xf>
    <xf numFmtId="0" fontId="7" fillId="0" borderId="1" xfId="1" applyFont="1" applyFill="1" applyBorder="1" applyAlignment="1" applyProtection="1">
      <alignment horizontal="center"/>
      <protection locked="0"/>
    </xf>
    <xf numFmtId="0" fontId="7" fillId="0" borderId="1" xfId="1" applyFont="1" applyFill="1" applyBorder="1" applyAlignment="1">
      <alignment horizontal="center"/>
    </xf>
    <xf numFmtId="177" fontId="6" fillId="0" borderId="0" xfId="1" applyNumberFormat="1" applyFont="1" applyAlignment="1">
      <alignment horizontal="center"/>
    </xf>
    <xf numFmtId="0" fontId="6" fillId="0" borderId="0" xfId="1" applyFont="1" applyFill="1" applyBorder="1" applyAlignment="1" applyProtection="1">
      <alignment horizontal="right"/>
      <protection locked="0"/>
    </xf>
    <xf numFmtId="0" fontId="6" fillId="0" borderId="0" xfId="1" applyFont="1" applyFill="1" applyAlignment="1">
      <alignment horizontal="left"/>
    </xf>
    <xf numFmtId="0" fontId="6" fillId="0" borderId="2" xfId="1" applyFont="1" applyBorder="1" applyAlignment="1"/>
    <xf numFmtId="0" fontId="6" fillId="0" borderId="3" xfId="1" applyFont="1" applyBorder="1" applyAlignment="1">
      <alignment horizontal="center"/>
    </xf>
    <xf numFmtId="0" fontId="6" fillId="0" borderId="3" xfId="2" applyFont="1" applyFill="1" applyBorder="1" applyAlignment="1">
      <alignment horizontal="center"/>
    </xf>
    <xf numFmtId="0" fontId="6" fillId="0" borderId="3" xfId="1" applyFont="1" applyBorder="1" applyAlignment="1">
      <alignment horizontal="center" shrinkToFit="1"/>
    </xf>
    <xf numFmtId="2" fontId="7" fillId="0" borderId="3" xfId="2" applyNumberFormat="1" applyFont="1" applyFill="1" applyBorder="1" applyAlignment="1">
      <alignment horizontal="center" shrinkToFit="1"/>
    </xf>
    <xf numFmtId="179" fontId="6" fillId="0" borderId="3" xfId="2" applyNumberFormat="1" applyFont="1" applyFill="1" applyBorder="1" applyAlignment="1">
      <alignment horizontal="center" shrinkToFit="1"/>
    </xf>
    <xf numFmtId="178" fontId="6" fillId="0" borderId="3" xfId="2" applyNumberFormat="1" applyFont="1" applyFill="1" applyBorder="1" applyAlignment="1">
      <alignment horizontal="center" shrinkToFit="1"/>
    </xf>
    <xf numFmtId="179" fontId="10" fillId="0" borderId="3" xfId="2" applyNumberFormat="1" applyFont="1" applyFill="1" applyBorder="1" applyAlignment="1">
      <alignment horizontal="center" shrinkToFit="1"/>
    </xf>
    <xf numFmtId="180" fontId="6" fillId="0" borderId="0" xfId="1" quotePrefix="1" applyNumberFormat="1" applyFont="1" applyFill="1" applyAlignment="1">
      <alignment horizontal="left"/>
    </xf>
    <xf numFmtId="0" fontId="6" fillId="0" borderId="0" xfId="1" quotePrefix="1" applyFont="1" applyFill="1" applyAlignment="1">
      <alignment horizontal="right"/>
    </xf>
    <xf numFmtId="176" fontId="6" fillId="0" borderId="0" xfId="1" applyNumberFormat="1" applyFont="1" applyFill="1" applyAlignment="1">
      <alignment horizontal="center"/>
    </xf>
    <xf numFmtId="176" fontId="10" fillId="0" borderId="0" xfId="1" applyNumberFormat="1" applyFont="1" applyFill="1"/>
    <xf numFmtId="177" fontId="8" fillId="0" borderId="0" xfId="0" applyNumberFormat="1" applyFont="1" applyAlignment="1">
      <alignment horizontal="center" vertical="center"/>
    </xf>
    <xf numFmtId="176" fontId="7" fillId="0" borderId="0" xfId="1" applyNumberFormat="1" applyFont="1" applyFill="1" applyBorder="1" applyAlignment="1" applyProtection="1">
      <alignment horizontal="center"/>
      <protection locked="0"/>
    </xf>
    <xf numFmtId="178" fontId="6" fillId="0" borderId="0" xfId="1" applyNumberFormat="1" applyFont="1" applyFill="1" applyAlignment="1">
      <alignment horizontal="center"/>
    </xf>
    <xf numFmtId="0" fontId="11" fillId="0" borderId="0" xfId="1" applyFont="1" applyFill="1" applyBorder="1" applyAlignment="1" applyProtection="1">
      <alignment horizontal="right"/>
      <protection locked="0"/>
    </xf>
    <xf numFmtId="0" fontId="11" fillId="0" borderId="0" xfId="1" applyFont="1" applyFill="1" applyAlignment="1">
      <alignment horizontal="right"/>
    </xf>
    <xf numFmtId="2" fontId="6" fillId="0" borderId="0" xfId="1" applyNumberFormat="1" applyFont="1" applyFill="1" applyAlignment="1" applyProtection="1">
      <alignment horizontal="center"/>
    </xf>
    <xf numFmtId="0" fontId="8" fillId="0" borderId="0" xfId="0" applyFont="1" applyBorder="1" applyAlignment="1">
      <alignment horizontal="center" vertical="center"/>
    </xf>
    <xf numFmtId="2" fontId="11" fillId="0" borderId="0" xfId="1" applyNumberFormat="1" applyFont="1" applyFill="1" applyAlignment="1">
      <alignment horizontal="center"/>
    </xf>
    <xf numFmtId="176" fontId="6" fillId="0" borderId="0" xfId="1" applyNumberFormat="1" applyFont="1" applyFill="1" applyAlignment="1">
      <alignment horizontal="right"/>
    </xf>
    <xf numFmtId="0" fontId="8" fillId="0" borderId="0" xfId="0" applyFont="1" applyAlignment="1">
      <alignment horizontal="right" vertical="center"/>
    </xf>
    <xf numFmtId="181" fontId="6" fillId="0" borderId="0" xfId="1" applyNumberFormat="1" applyFont="1" applyFill="1" applyAlignment="1">
      <alignment horizontal="center"/>
    </xf>
    <xf numFmtId="0" fontId="8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177" fontId="11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181" fontId="8" fillId="0" borderId="0" xfId="0" applyNumberFormat="1" applyFont="1" applyAlignment="1">
      <alignment horizontal="center" vertical="center"/>
    </xf>
    <xf numFmtId="181" fontId="6" fillId="0" borderId="0" xfId="1" applyNumberFormat="1" applyFont="1" applyAlignment="1">
      <alignment horizontal="center"/>
    </xf>
    <xf numFmtId="2" fontId="8" fillId="0" borderId="0" xfId="0" applyNumberFormat="1" applyFont="1" applyAlignment="1">
      <alignment horizontal="center" vertical="center"/>
    </xf>
    <xf numFmtId="0" fontId="6" fillId="0" borderId="0" xfId="1" applyFont="1" applyAlignment="1">
      <alignment horizontal="left" vertical="center"/>
    </xf>
  </cellXfs>
  <cellStyles count="3">
    <cellStyle name="標準" xfId="0" builtinId="0"/>
    <cellStyle name="標準_N1113基礎支持力" xfId="2" xr:uid="{929AA6AB-218C-4841-943D-17F8053EDB9D}"/>
    <cellStyle name="標準_基礎支持力qa" xfId="1" xr:uid="{68B9C565-4D54-4A92-840F-DAF1268583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42" name="line01">
          <a:extLst>
            <a:ext uri="{FF2B5EF4-FFF2-40B4-BE49-F238E27FC236}">
              <a16:creationId xmlns:a16="http://schemas.microsoft.com/office/drawing/2014/main" id="{E967C2A0-F7C7-4612-A4D5-5958861B63C9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43" name="textbox01">
          <a:extLst>
            <a:ext uri="{FF2B5EF4-FFF2-40B4-BE49-F238E27FC236}">
              <a16:creationId xmlns:a16="http://schemas.microsoft.com/office/drawing/2014/main" id="{AC9244EE-B781-41FB-8CA7-732720A92E41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4" name="line01">
          <a:extLst>
            <a:ext uri="{FF2B5EF4-FFF2-40B4-BE49-F238E27FC236}">
              <a16:creationId xmlns:a16="http://schemas.microsoft.com/office/drawing/2014/main" id="{D9B26A1C-E99C-4ECD-950F-5C83D2D48203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5" name="line01">
          <a:extLst>
            <a:ext uri="{FF2B5EF4-FFF2-40B4-BE49-F238E27FC236}">
              <a16:creationId xmlns:a16="http://schemas.microsoft.com/office/drawing/2014/main" id="{1455D7CC-4A75-4998-9627-26D338653369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6" name="line01">
          <a:extLst>
            <a:ext uri="{FF2B5EF4-FFF2-40B4-BE49-F238E27FC236}">
              <a16:creationId xmlns:a16="http://schemas.microsoft.com/office/drawing/2014/main" id="{8EA828D0-0DBB-4C85-9ED1-C2B097089E26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7" name="line01">
          <a:extLst>
            <a:ext uri="{FF2B5EF4-FFF2-40B4-BE49-F238E27FC236}">
              <a16:creationId xmlns:a16="http://schemas.microsoft.com/office/drawing/2014/main" id="{13A5B7CF-202D-496E-8E39-B94E0EDEDC5E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48" name="line02">
          <a:extLst>
            <a:ext uri="{FF2B5EF4-FFF2-40B4-BE49-F238E27FC236}">
              <a16:creationId xmlns:a16="http://schemas.microsoft.com/office/drawing/2014/main" id="{17EF8EEA-BCCF-4E9E-902E-37D6DEB097D6}"/>
            </a:ext>
          </a:extLst>
        </xdr:cNvPr>
        <xdr:cNvCxnSpPr/>
      </xdr:nvCxnSpPr>
      <xdr:spPr>
        <a:xfrm>
          <a:off x="548986" y="3200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5</xdr:col>
      <xdr:colOff>0</xdr:colOff>
      <xdr:row>8</xdr:row>
      <xdr:rowOff>181841</xdr:rowOff>
    </xdr:to>
    <xdr:cxnSp macro="">
      <xdr:nvCxnSpPr>
        <xdr:cNvPr id="49" name="line02">
          <a:extLst>
            <a:ext uri="{FF2B5EF4-FFF2-40B4-BE49-F238E27FC236}">
              <a16:creationId xmlns:a16="http://schemas.microsoft.com/office/drawing/2014/main" id="{0A58C98A-6AE6-449A-9499-42957692920D}"/>
            </a:ext>
          </a:extLst>
        </xdr:cNvPr>
        <xdr:cNvCxnSpPr/>
      </xdr:nvCxnSpPr>
      <xdr:spPr>
        <a:xfrm>
          <a:off x="548986" y="178204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1</xdr:col>
      <xdr:colOff>196561</xdr:colOff>
      <xdr:row>16</xdr:row>
      <xdr:rowOff>0</xdr:rowOff>
    </xdr:to>
    <xdr:cxnSp macro="">
      <xdr:nvCxnSpPr>
        <xdr:cNvPr id="50" name="line02">
          <a:extLst>
            <a:ext uri="{FF2B5EF4-FFF2-40B4-BE49-F238E27FC236}">
              <a16:creationId xmlns:a16="http://schemas.microsoft.com/office/drawing/2014/main" id="{B8C566CD-6F08-4E57-A421-CF1D0D4B73B6}"/>
            </a:ext>
          </a:extLst>
        </xdr:cNvPr>
        <xdr:cNvCxnSpPr/>
      </xdr:nvCxnSpPr>
      <xdr:spPr>
        <a:xfrm flipV="1">
          <a:off x="548986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181841</xdr:rowOff>
    </xdr:from>
    <xdr:to>
      <xdr:col>5</xdr:col>
      <xdr:colOff>0</xdr:colOff>
      <xdr:row>16</xdr:row>
      <xdr:rowOff>0</xdr:rowOff>
    </xdr:to>
    <xdr:cxnSp macro="">
      <xdr:nvCxnSpPr>
        <xdr:cNvPr id="51" name="line02">
          <a:extLst>
            <a:ext uri="{FF2B5EF4-FFF2-40B4-BE49-F238E27FC236}">
              <a16:creationId xmlns:a16="http://schemas.microsoft.com/office/drawing/2014/main" id="{FC1D6B07-2879-4A2C-B181-B4CEE4E9415F}"/>
            </a:ext>
          </a:extLst>
        </xdr:cNvPr>
        <xdr:cNvCxnSpPr/>
      </xdr:nvCxnSpPr>
      <xdr:spPr>
        <a:xfrm flipV="1">
          <a:off x="2676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7</xdr:row>
      <xdr:rowOff>27276</xdr:rowOff>
    </xdr:from>
    <xdr:to>
      <xdr:col>5</xdr:col>
      <xdr:colOff>0</xdr:colOff>
      <xdr:row>7</xdr:row>
      <xdr:rowOff>27276</xdr:rowOff>
    </xdr:to>
    <xdr:cxnSp macro="">
      <xdr:nvCxnSpPr>
        <xdr:cNvPr id="52" name="line02">
          <a:extLst>
            <a:ext uri="{FF2B5EF4-FFF2-40B4-BE49-F238E27FC236}">
              <a16:creationId xmlns:a16="http://schemas.microsoft.com/office/drawing/2014/main" id="{BFBD4456-D279-429C-AC64-513E9B006042}"/>
            </a:ext>
          </a:extLst>
        </xdr:cNvPr>
        <xdr:cNvCxnSpPr/>
      </xdr:nvCxnSpPr>
      <xdr:spPr>
        <a:xfrm>
          <a:off x="548986" y="142745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5</xdr:col>
      <xdr:colOff>0</xdr:colOff>
      <xdr:row>5</xdr:row>
      <xdr:rowOff>72736</xdr:rowOff>
    </xdr:to>
    <xdr:cxnSp macro="">
      <xdr:nvCxnSpPr>
        <xdr:cNvPr id="53" name="line02">
          <a:extLst>
            <a:ext uri="{FF2B5EF4-FFF2-40B4-BE49-F238E27FC236}">
              <a16:creationId xmlns:a16="http://schemas.microsoft.com/office/drawing/2014/main" id="{532A28D8-5A4D-46C5-825D-FB6D0920F20D}"/>
            </a:ext>
          </a:extLst>
        </xdr:cNvPr>
        <xdr:cNvCxnSpPr/>
      </xdr:nvCxnSpPr>
      <xdr:spPr>
        <a:xfrm>
          <a:off x="548986" y="107286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1</xdr:col>
      <xdr:colOff>196561</xdr:colOff>
      <xdr:row>7</xdr:row>
      <xdr:rowOff>27276</xdr:rowOff>
    </xdr:to>
    <xdr:cxnSp macro="">
      <xdr:nvCxnSpPr>
        <xdr:cNvPr id="54" name="line02">
          <a:extLst>
            <a:ext uri="{FF2B5EF4-FFF2-40B4-BE49-F238E27FC236}">
              <a16:creationId xmlns:a16="http://schemas.microsoft.com/office/drawing/2014/main" id="{A9419509-C340-41B6-A495-2F83254EC696}"/>
            </a:ext>
          </a:extLst>
        </xdr:cNvPr>
        <xdr:cNvCxnSpPr/>
      </xdr:nvCxnSpPr>
      <xdr:spPr>
        <a:xfrm flipV="1">
          <a:off x="548986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72736</xdr:rowOff>
    </xdr:from>
    <xdr:to>
      <xdr:col>5</xdr:col>
      <xdr:colOff>0</xdr:colOff>
      <xdr:row>7</xdr:row>
      <xdr:rowOff>27276</xdr:rowOff>
    </xdr:to>
    <xdr:cxnSp macro="">
      <xdr:nvCxnSpPr>
        <xdr:cNvPr id="55" name="line02">
          <a:extLst>
            <a:ext uri="{FF2B5EF4-FFF2-40B4-BE49-F238E27FC236}">
              <a16:creationId xmlns:a16="http://schemas.microsoft.com/office/drawing/2014/main" id="{D5876E38-0637-4A9E-A4AA-3CC5DBE13E7B}"/>
            </a:ext>
          </a:extLst>
        </xdr:cNvPr>
        <xdr:cNvCxnSpPr/>
      </xdr:nvCxnSpPr>
      <xdr:spPr>
        <a:xfrm flipV="1">
          <a:off x="26765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3</xdr:row>
      <xdr:rowOff>0</xdr:rowOff>
    </xdr:from>
    <xdr:to>
      <xdr:col>2</xdr:col>
      <xdr:colOff>236068</xdr:colOff>
      <xdr:row>5</xdr:row>
      <xdr:rowOff>72736</xdr:rowOff>
    </xdr:to>
    <xdr:cxnSp macro="">
      <xdr:nvCxnSpPr>
        <xdr:cNvPr id="56" name="line02">
          <a:extLst>
            <a:ext uri="{FF2B5EF4-FFF2-40B4-BE49-F238E27FC236}">
              <a16:creationId xmlns:a16="http://schemas.microsoft.com/office/drawing/2014/main" id="{69901C2E-D6B1-481A-AFE5-D9BF049ECD8D}"/>
            </a:ext>
          </a:extLst>
        </xdr:cNvPr>
        <xdr:cNvCxnSpPr/>
      </xdr:nvCxnSpPr>
      <xdr:spPr>
        <a:xfrm flipV="1">
          <a:off x="1169518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3</xdr:row>
      <xdr:rowOff>0</xdr:rowOff>
    </xdr:from>
    <xdr:to>
      <xdr:col>3</xdr:col>
      <xdr:colOff>541518</xdr:colOff>
      <xdr:row>5</xdr:row>
      <xdr:rowOff>72736</xdr:rowOff>
    </xdr:to>
    <xdr:cxnSp macro="">
      <xdr:nvCxnSpPr>
        <xdr:cNvPr id="57" name="line02">
          <a:extLst>
            <a:ext uri="{FF2B5EF4-FFF2-40B4-BE49-F238E27FC236}">
              <a16:creationId xmlns:a16="http://schemas.microsoft.com/office/drawing/2014/main" id="{4248E9B6-E82B-429C-99D4-31E62F025205}"/>
            </a:ext>
          </a:extLst>
        </xdr:cNvPr>
        <xdr:cNvCxnSpPr/>
      </xdr:nvCxnSpPr>
      <xdr:spPr>
        <a:xfrm flipV="1">
          <a:off x="2055993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14</xdr:row>
      <xdr:rowOff>134108</xdr:rowOff>
    </xdr:from>
    <xdr:to>
      <xdr:col>3</xdr:col>
      <xdr:colOff>541518</xdr:colOff>
      <xdr:row>14</xdr:row>
      <xdr:rowOff>134108</xdr:rowOff>
    </xdr:to>
    <xdr:cxnSp macro="">
      <xdr:nvCxnSpPr>
        <xdr:cNvPr id="58" name="line02">
          <a:extLst>
            <a:ext uri="{FF2B5EF4-FFF2-40B4-BE49-F238E27FC236}">
              <a16:creationId xmlns:a16="http://schemas.microsoft.com/office/drawing/2014/main" id="{6790FF71-52E0-414E-BCBF-C2D20F4E35C7}"/>
            </a:ext>
          </a:extLst>
        </xdr:cNvPr>
        <xdr:cNvCxnSpPr/>
      </xdr:nvCxnSpPr>
      <xdr:spPr>
        <a:xfrm>
          <a:off x="1169518" y="2934458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3</xdr:col>
      <xdr:colOff>541518</xdr:colOff>
      <xdr:row>10</xdr:row>
      <xdr:rowOff>47733</xdr:rowOff>
    </xdr:to>
    <xdr:cxnSp macro="">
      <xdr:nvCxnSpPr>
        <xdr:cNvPr id="59" name="line02">
          <a:extLst>
            <a:ext uri="{FF2B5EF4-FFF2-40B4-BE49-F238E27FC236}">
              <a16:creationId xmlns:a16="http://schemas.microsoft.com/office/drawing/2014/main" id="{352F73FA-DB68-4511-B3EE-1DE829F15505}"/>
            </a:ext>
          </a:extLst>
        </xdr:cNvPr>
        <xdr:cNvCxnSpPr/>
      </xdr:nvCxnSpPr>
      <xdr:spPr>
        <a:xfrm>
          <a:off x="1169518" y="2047983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2</xdr:col>
      <xdr:colOff>236068</xdr:colOff>
      <xdr:row>14</xdr:row>
      <xdr:rowOff>134108</xdr:rowOff>
    </xdr:to>
    <xdr:cxnSp macro="">
      <xdr:nvCxnSpPr>
        <xdr:cNvPr id="60" name="line02">
          <a:extLst>
            <a:ext uri="{FF2B5EF4-FFF2-40B4-BE49-F238E27FC236}">
              <a16:creationId xmlns:a16="http://schemas.microsoft.com/office/drawing/2014/main" id="{4CCFD7AA-AA10-48A7-93DB-88EAF89F3D38}"/>
            </a:ext>
          </a:extLst>
        </xdr:cNvPr>
        <xdr:cNvCxnSpPr/>
      </xdr:nvCxnSpPr>
      <xdr:spPr>
        <a:xfrm flipV="1">
          <a:off x="1169518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10</xdr:row>
      <xdr:rowOff>47733</xdr:rowOff>
    </xdr:from>
    <xdr:to>
      <xdr:col>3</xdr:col>
      <xdr:colOff>541518</xdr:colOff>
      <xdr:row>14</xdr:row>
      <xdr:rowOff>134108</xdr:rowOff>
    </xdr:to>
    <xdr:cxnSp macro="">
      <xdr:nvCxnSpPr>
        <xdr:cNvPr id="61" name="line02">
          <a:extLst>
            <a:ext uri="{FF2B5EF4-FFF2-40B4-BE49-F238E27FC236}">
              <a16:creationId xmlns:a16="http://schemas.microsoft.com/office/drawing/2014/main" id="{526A89C1-6778-4B23-BEE4-3CDF98893EBF}"/>
            </a:ext>
          </a:extLst>
        </xdr:cNvPr>
        <xdr:cNvCxnSpPr/>
      </xdr:nvCxnSpPr>
      <xdr:spPr>
        <a:xfrm flipV="1">
          <a:off x="2055993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7</xdr:row>
      <xdr:rowOff>27276</xdr:rowOff>
    </xdr:to>
    <xdr:cxnSp macro="">
      <xdr:nvCxnSpPr>
        <xdr:cNvPr id="62" name="line02">
          <a:extLst>
            <a:ext uri="{FF2B5EF4-FFF2-40B4-BE49-F238E27FC236}">
              <a16:creationId xmlns:a16="http://schemas.microsoft.com/office/drawing/2014/main" id="{BC8890D1-1C82-41C4-BC69-84F414E8BAAF}"/>
            </a:ext>
          </a:extLst>
        </xdr:cNvPr>
        <xdr:cNvCxnSpPr/>
      </xdr:nvCxnSpPr>
      <xdr:spPr>
        <a:xfrm flipV="1">
          <a:off x="3311525" y="600075"/>
          <a:ext cx="0" cy="82737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72736</xdr:rowOff>
    </xdr:from>
    <xdr:to>
      <xdr:col>5</xdr:col>
      <xdr:colOff>317500</xdr:colOff>
      <xdr:row>7</xdr:row>
      <xdr:rowOff>27276</xdr:rowOff>
    </xdr:to>
    <xdr:cxnSp macro="">
      <xdr:nvCxnSpPr>
        <xdr:cNvPr id="63" name="line02">
          <a:extLst>
            <a:ext uri="{FF2B5EF4-FFF2-40B4-BE49-F238E27FC236}">
              <a16:creationId xmlns:a16="http://schemas.microsoft.com/office/drawing/2014/main" id="{56233BB0-BF02-4557-ADF8-7EDE7B994D91}"/>
            </a:ext>
          </a:extLst>
        </xdr:cNvPr>
        <xdr:cNvCxnSpPr/>
      </xdr:nvCxnSpPr>
      <xdr:spPr>
        <a:xfrm flipV="1">
          <a:off x="29940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27276</xdr:rowOff>
    </xdr:from>
    <xdr:to>
      <xdr:col>6</xdr:col>
      <xdr:colOff>117475</xdr:colOff>
      <xdr:row>7</xdr:row>
      <xdr:rowOff>27276</xdr:rowOff>
    </xdr:to>
    <xdr:cxnSp macro="">
      <xdr:nvCxnSpPr>
        <xdr:cNvPr id="1408" name="line02">
          <a:extLst>
            <a:ext uri="{FF2B5EF4-FFF2-40B4-BE49-F238E27FC236}">
              <a16:creationId xmlns:a16="http://schemas.microsoft.com/office/drawing/2014/main" id="{A0413D50-BBF7-42FB-A1BB-5C0A13266F41}"/>
            </a:ext>
          </a:extLst>
        </xdr:cNvPr>
        <xdr:cNvCxnSpPr/>
      </xdr:nvCxnSpPr>
      <xdr:spPr>
        <a:xfrm>
          <a:off x="2740025" y="1427451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72736</xdr:rowOff>
    </xdr:from>
    <xdr:to>
      <xdr:col>5</xdr:col>
      <xdr:colOff>355600</xdr:colOff>
      <xdr:row>5</xdr:row>
      <xdr:rowOff>72736</xdr:rowOff>
    </xdr:to>
    <xdr:cxnSp macro="">
      <xdr:nvCxnSpPr>
        <xdr:cNvPr id="1409" name="line02">
          <a:extLst>
            <a:ext uri="{FF2B5EF4-FFF2-40B4-BE49-F238E27FC236}">
              <a16:creationId xmlns:a16="http://schemas.microsoft.com/office/drawing/2014/main" id="{AF1729C5-9969-491D-9718-2C9EC040B9D9}"/>
            </a:ext>
          </a:extLst>
        </xdr:cNvPr>
        <xdr:cNvCxnSpPr/>
      </xdr:nvCxnSpPr>
      <xdr:spPr>
        <a:xfrm>
          <a:off x="2740025" y="1072861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17</xdr:row>
      <xdr:rowOff>180975</xdr:rowOff>
    </xdr:from>
    <xdr:to>
      <xdr:col>5</xdr:col>
      <xdr:colOff>0</xdr:colOff>
      <xdr:row>17</xdr:row>
      <xdr:rowOff>180975</xdr:rowOff>
    </xdr:to>
    <xdr:cxnSp macro="">
      <xdr:nvCxnSpPr>
        <xdr:cNvPr id="1410" name="line02">
          <a:extLst>
            <a:ext uri="{FF2B5EF4-FFF2-40B4-BE49-F238E27FC236}">
              <a16:creationId xmlns:a16="http://schemas.microsoft.com/office/drawing/2014/main" id="{7E0351DE-9347-4DA8-AB7D-686EED874A3C}"/>
            </a:ext>
          </a:extLst>
        </xdr:cNvPr>
        <xdr:cNvCxnSpPr/>
      </xdr:nvCxnSpPr>
      <xdr:spPr>
        <a:xfrm>
          <a:off x="548986" y="3581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1411" name="line02">
          <a:extLst>
            <a:ext uri="{FF2B5EF4-FFF2-40B4-BE49-F238E27FC236}">
              <a16:creationId xmlns:a16="http://schemas.microsoft.com/office/drawing/2014/main" id="{E4B952F9-3307-4B13-BCE9-D9B324E29DD5}"/>
            </a:ext>
          </a:extLst>
        </xdr:cNvPr>
        <xdr:cNvCxnSpPr/>
      </xdr:nvCxnSpPr>
      <xdr:spPr>
        <a:xfrm>
          <a:off x="548986" y="33909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38100</xdr:rowOff>
    </xdr:from>
    <xdr:to>
      <xdr:col>1</xdr:col>
      <xdr:colOff>196561</xdr:colOff>
      <xdr:row>17</xdr:row>
      <xdr:rowOff>180975</xdr:rowOff>
    </xdr:to>
    <xdr:cxnSp macro="">
      <xdr:nvCxnSpPr>
        <xdr:cNvPr id="1412" name="line02">
          <a:extLst>
            <a:ext uri="{FF2B5EF4-FFF2-40B4-BE49-F238E27FC236}">
              <a16:creationId xmlns:a16="http://schemas.microsoft.com/office/drawing/2014/main" id="{858B77F2-1BA0-4AD2-B510-F1D52CA1722D}"/>
            </a:ext>
          </a:extLst>
        </xdr:cNvPr>
        <xdr:cNvCxnSpPr/>
      </xdr:nvCxnSpPr>
      <xdr:spPr>
        <a:xfrm flipV="1">
          <a:off x="548986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180975</xdr:rowOff>
    </xdr:to>
    <xdr:cxnSp macro="">
      <xdr:nvCxnSpPr>
        <xdr:cNvPr id="1413" name="line02">
          <a:extLst>
            <a:ext uri="{FF2B5EF4-FFF2-40B4-BE49-F238E27FC236}">
              <a16:creationId xmlns:a16="http://schemas.microsoft.com/office/drawing/2014/main" id="{85360464-C4DD-4A0A-9AE7-63549A78F7DA}"/>
            </a:ext>
          </a:extLst>
        </xdr:cNvPr>
        <xdr:cNvCxnSpPr/>
      </xdr:nvCxnSpPr>
      <xdr:spPr>
        <a:xfrm flipV="1">
          <a:off x="2676525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8</xdr:row>
      <xdr:rowOff>181841</xdr:rowOff>
    </xdr:from>
    <xdr:to>
      <xdr:col>6</xdr:col>
      <xdr:colOff>53975</xdr:colOff>
      <xdr:row>16</xdr:row>
      <xdr:rowOff>0</xdr:rowOff>
    </xdr:to>
    <xdr:cxnSp macro="">
      <xdr:nvCxnSpPr>
        <xdr:cNvPr id="1414" name="line02">
          <a:extLst>
            <a:ext uri="{FF2B5EF4-FFF2-40B4-BE49-F238E27FC236}">
              <a16:creationId xmlns:a16="http://schemas.microsoft.com/office/drawing/2014/main" id="{15B9D4C7-B361-4F74-AF38-0495AF7DDE8A}"/>
            </a:ext>
          </a:extLst>
        </xdr:cNvPr>
        <xdr:cNvCxnSpPr/>
      </xdr:nvCxnSpPr>
      <xdr:spPr>
        <a:xfrm flipV="1">
          <a:off x="3311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181841</xdr:rowOff>
    </xdr:from>
    <xdr:to>
      <xdr:col>5</xdr:col>
      <xdr:colOff>317500</xdr:colOff>
      <xdr:row>16</xdr:row>
      <xdr:rowOff>0</xdr:rowOff>
    </xdr:to>
    <xdr:cxnSp macro="">
      <xdr:nvCxnSpPr>
        <xdr:cNvPr id="1415" name="line02">
          <a:extLst>
            <a:ext uri="{FF2B5EF4-FFF2-40B4-BE49-F238E27FC236}">
              <a16:creationId xmlns:a16="http://schemas.microsoft.com/office/drawing/2014/main" id="{2ACAC875-39CE-4124-8CDB-D9EF78D4B162}"/>
            </a:ext>
          </a:extLst>
        </xdr:cNvPr>
        <xdr:cNvCxnSpPr/>
      </xdr:nvCxnSpPr>
      <xdr:spPr>
        <a:xfrm flipV="1">
          <a:off x="29940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79375</xdr:colOff>
      <xdr:row>16</xdr:row>
      <xdr:rowOff>0</xdr:rowOff>
    </xdr:to>
    <xdr:cxnSp macro="">
      <xdr:nvCxnSpPr>
        <xdr:cNvPr id="1416" name="line02">
          <a:extLst>
            <a:ext uri="{FF2B5EF4-FFF2-40B4-BE49-F238E27FC236}">
              <a16:creationId xmlns:a16="http://schemas.microsoft.com/office/drawing/2014/main" id="{92942F75-7839-4254-8724-D8E69794785E}"/>
            </a:ext>
          </a:extLst>
        </xdr:cNvPr>
        <xdr:cNvCxnSpPr/>
      </xdr:nvCxnSpPr>
      <xdr:spPr>
        <a:xfrm>
          <a:off x="2740025" y="32004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181841</xdr:rowOff>
    </xdr:from>
    <xdr:to>
      <xdr:col>6</xdr:col>
      <xdr:colOff>79375</xdr:colOff>
      <xdr:row>8</xdr:row>
      <xdr:rowOff>181841</xdr:rowOff>
    </xdr:to>
    <xdr:cxnSp macro="">
      <xdr:nvCxnSpPr>
        <xdr:cNvPr id="1417" name="line02">
          <a:extLst>
            <a:ext uri="{FF2B5EF4-FFF2-40B4-BE49-F238E27FC236}">
              <a16:creationId xmlns:a16="http://schemas.microsoft.com/office/drawing/2014/main" id="{FCF333C1-D010-4F5E-B533-A528936FFFC3}"/>
            </a:ext>
          </a:extLst>
        </xdr:cNvPr>
        <xdr:cNvCxnSpPr/>
      </xdr:nvCxnSpPr>
      <xdr:spPr>
        <a:xfrm>
          <a:off x="2740025" y="1782041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6</xdr:col>
      <xdr:colOff>92075</xdr:colOff>
      <xdr:row>6</xdr:row>
      <xdr:rowOff>34925</xdr:rowOff>
    </xdr:to>
    <xdr:sp macro="" textlink="">
      <xdr:nvSpPr>
        <xdr:cNvPr id="1418" name="textboxDf">
          <a:extLst>
            <a:ext uri="{FF2B5EF4-FFF2-40B4-BE49-F238E27FC236}">
              <a16:creationId xmlns:a16="http://schemas.microsoft.com/office/drawing/2014/main" id="{345C7B7F-5CC2-4D34-AB64-A1A850470A1E}"/>
            </a:ext>
          </a:extLst>
        </xdr:cNvPr>
        <xdr:cNvSpPr txBox="1"/>
      </xdr:nvSpPr>
      <xdr:spPr>
        <a:xfrm rot="16200000">
          <a:off x="2905125" y="7905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3</xdr:row>
      <xdr:rowOff>128876</xdr:rowOff>
    </xdr:from>
    <xdr:to>
      <xdr:col>5</xdr:col>
      <xdr:colOff>381000</xdr:colOff>
      <xdr:row>6</xdr:row>
      <xdr:rowOff>163801</xdr:rowOff>
    </xdr:to>
    <xdr:sp macro="" textlink="">
      <xdr:nvSpPr>
        <xdr:cNvPr id="1419" name="textboxD">
          <a:extLst>
            <a:ext uri="{FF2B5EF4-FFF2-40B4-BE49-F238E27FC236}">
              <a16:creationId xmlns:a16="http://schemas.microsoft.com/office/drawing/2014/main" id="{5183AC4F-C5DD-4D30-A391-B5347BCEBB2E}"/>
            </a:ext>
          </a:extLst>
        </xdr:cNvPr>
        <xdr:cNvSpPr txBox="1"/>
      </xdr:nvSpPr>
      <xdr:spPr>
        <a:xfrm rot="16200000">
          <a:off x="2613025" y="919451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158634</xdr:rowOff>
    </xdr:from>
    <xdr:to>
      <xdr:col>6</xdr:col>
      <xdr:colOff>117475</xdr:colOff>
      <xdr:row>13</xdr:row>
      <xdr:rowOff>193559</xdr:rowOff>
    </xdr:to>
    <xdr:sp macro="" textlink="">
      <xdr:nvSpPr>
        <xdr:cNvPr id="1420" name="textboxB">
          <a:extLst>
            <a:ext uri="{FF2B5EF4-FFF2-40B4-BE49-F238E27FC236}">
              <a16:creationId xmlns:a16="http://schemas.microsoft.com/office/drawing/2014/main" id="{93A77DD3-D9FC-4A8B-9B36-102AD03792B1}"/>
            </a:ext>
          </a:extLst>
        </xdr:cNvPr>
        <xdr:cNvSpPr txBox="1"/>
      </xdr:nvSpPr>
      <xdr:spPr>
        <a:xfrm rot="16200000">
          <a:off x="2930525" y="2349384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133176</xdr:rowOff>
    </xdr:from>
    <xdr:to>
      <xdr:col>5</xdr:col>
      <xdr:colOff>368300</xdr:colOff>
      <xdr:row>11</xdr:row>
      <xdr:rowOff>168101</xdr:rowOff>
    </xdr:to>
    <xdr:sp macro="" textlink="">
      <xdr:nvSpPr>
        <xdr:cNvPr id="1421" name="textboxl2">
          <a:extLst>
            <a:ext uri="{FF2B5EF4-FFF2-40B4-BE49-F238E27FC236}">
              <a16:creationId xmlns:a16="http://schemas.microsoft.com/office/drawing/2014/main" id="{51752205-819A-4CDD-AD2E-8B9D72BA99AD}"/>
            </a:ext>
          </a:extLst>
        </xdr:cNvPr>
        <xdr:cNvSpPr txBox="1"/>
      </xdr:nvSpPr>
      <xdr:spPr>
        <a:xfrm rot="16200000">
          <a:off x="2600325" y="192387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163945</xdr:rowOff>
    </xdr:from>
    <xdr:to>
      <xdr:col>5</xdr:col>
      <xdr:colOff>368300</xdr:colOff>
      <xdr:row>15</xdr:row>
      <xdr:rowOff>125845</xdr:rowOff>
    </xdr:to>
    <xdr:sp macro="" textlink="">
      <xdr:nvSpPr>
        <xdr:cNvPr id="1422" name="textboxex">
          <a:extLst>
            <a:ext uri="{FF2B5EF4-FFF2-40B4-BE49-F238E27FC236}">
              <a16:creationId xmlns:a16="http://schemas.microsoft.com/office/drawing/2014/main" id="{802265E0-1C19-4257-B14F-B8255CFE934D}"/>
            </a:ext>
          </a:extLst>
        </xdr:cNvPr>
        <xdr:cNvSpPr txBox="1"/>
      </xdr:nvSpPr>
      <xdr:spPr>
        <a:xfrm rot="16200000">
          <a:off x="2536825" y="261822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466552</xdr:colOff>
      <xdr:row>16</xdr:row>
      <xdr:rowOff>190500</xdr:rowOff>
    </xdr:from>
    <xdr:to>
      <xdr:col>3</xdr:col>
      <xdr:colOff>520527</xdr:colOff>
      <xdr:row>18</xdr:row>
      <xdr:rowOff>44450</xdr:rowOff>
    </xdr:to>
    <xdr:sp macro="" textlink="">
      <xdr:nvSpPr>
        <xdr:cNvPr id="1423" name="textboxl">
          <a:extLst>
            <a:ext uri="{FF2B5EF4-FFF2-40B4-BE49-F238E27FC236}">
              <a16:creationId xmlns:a16="http://schemas.microsoft.com/office/drawing/2014/main" id="{FB5142B7-0C01-4885-94D3-ACF90D14B161}"/>
            </a:ext>
          </a:extLst>
        </xdr:cNvPr>
        <xdr:cNvSpPr txBox="1"/>
      </xdr:nvSpPr>
      <xdr:spPr>
        <a:xfrm>
          <a:off x="1400002" y="33909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417412</xdr:colOff>
      <xdr:row>16</xdr:row>
      <xdr:rowOff>0</xdr:rowOff>
    </xdr:from>
    <xdr:to>
      <xdr:col>4</xdr:col>
      <xdr:colOff>471387</xdr:colOff>
      <xdr:row>17</xdr:row>
      <xdr:rowOff>53975</xdr:rowOff>
    </xdr:to>
    <xdr:sp macro="" textlink="">
      <xdr:nvSpPr>
        <xdr:cNvPr id="1424" name="textboxl2">
          <a:extLst>
            <a:ext uri="{FF2B5EF4-FFF2-40B4-BE49-F238E27FC236}">
              <a16:creationId xmlns:a16="http://schemas.microsoft.com/office/drawing/2014/main" id="{B98C32E6-E30A-4A22-87F6-79D9B80EE126}"/>
            </a:ext>
          </a:extLst>
        </xdr:cNvPr>
        <xdr:cNvSpPr txBox="1"/>
      </xdr:nvSpPr>
      <xdr:spPr>
        <a:xfrm>
          <a:off x="1931887" y="32004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44306</xdr:colOff>
      <xdr:row>16</xdr:row>
      <xdr:rowOff>0</xdr:rowOff>
    </xdr:from>
    <xdr:to>
      <xdr:col>3</xdr:col>
      <xdr:colOff>352281</xdr:colOff>
      <xdr:row>17</xdr:row>
      <xdr:rowOff>53975</xdr:rowOff>
    </xdr:to>
    <xdr:sp macro="" textlink="">
      <xdr:nvSpPr>
        <xdr:cNvPr id="1425" name="textboxex">
          <a:extLst>
            <a:ext uri="{FF2B5EF4-FFF2-40B4-BE49-F238E27FC236}">
              <a16:creationId xmlns:a16="http://schemas.microsoft.com/office/drawing/2014/main" id="{22A2794E-1EA1-4F3E-B77E-D47877BF6A9A}"/>
            </a:ext>
          </a:extLst>
        </xdr:cNvPr>
        <xdr:cNvSpPr txBox="1"/>
      </xdr:nvSpPr>
      <xdr:spPr>
        <a:xfrm>
          <a:off x="977756" y="32004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76200</xdr:colOff>
      <xdr:row>3</xdr:row>
      <xdr:rowOff>0</xdr:rowOff>
    </xdr:to>
    <xdr:cxnSp macro="">
      <xdr:nvCxnSpPr>
        <xdr:cNvPr id="2194" name="line01">
          <a:extLst>
            <a:ext uri="{FF2B5EF4-FFF2-40B4-BE49-F238E27FC236}">
              <a16:creationId xmlns:a16="http://schemas.microsoft.com/office/drawing/2014/main" id="{D8B0820B-9DD9-4EA9-9C0F-C0033594559C}"/>
            </a:ext>
          </a:extLst>
        </xdr:cNvPr>
        <xdr:cNvCxnSpPr/>
      </xdr:nvCxnSpPr>
      <xdr:spPr>
        <a:xfrm>
          <a:off x="685800" y="714375"/>
          <a:ext cx="35337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22225</xdr:rowOff>
    </xdr:from>
    <xdr:to>
      <xdr:col>1</xdr:col>
      <xdr:colOff>635000</xdr:colOff>
      <xdr:row>3</xdr:row>
      <xdr:rowOff>38100</xdr:rowOff>
    </xdr:to>
    <xdr:sp macro="" textlink="">
      <xdr:nvSpPr>
        <xdr:cNvPr id="2195" name="textbox01">
          <a:extLst>
            <a:ext uri="{FF2B5EF4-FFF2-40B4-BE49-F238E27FC236}">
              <a16:creationId xmlns:a16="http://schemas.microsoft.com/office/drawing/2014/main" id="{B277070F-645C-4B74-9AA8-5B9631D34433}"/>
            </a:ext>
          </a:extLst>
        </xdr:cNvPr>
        <xdr:cNvSpPr txBox="1"/>
      </xdr:nvSpPr>
      <xdr:spPr>
        <a:xfrm>
          <a:off x="685800" y="4984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133783</xdr:colOff>
      <xdr:row>2</xdr:row>
      <xdr:rowOff>111125</xdr:rowOff>
    </xdr:from>
    <xdr:to>
      <xdr:col>3</xdr:col>
      <xdr:colOff>133783</xdr:colOff>
      <xdr:row>16</xdr:row>
      <xdr:rowOff>190500</xdr:rowOff>
    </xdr:to>
    <xdr:cxnSp macro="">
      <xdr:nvCxnSpPr>
        <xdr:cNvPr id="2196" name="line01">
          <a:extLst>
            <a:ext uri="{FF2B5EF4-FFF2-40B4-BE49-F238E27FC236}">
              <a16:creationId xmlns:a16="http://schemas.microsoft.com/office/drawing/2014/main" id="{05255145-9982-4515-B7DC-00A28061181D}"/>
            </a:ext>
          </a:extLst>
        </xdr:cNvPr>
        <xdr:cNvCxnSpPr/>
      </xdr:nvCxnSpPr>
      <xdr:spPr>
        <a:xfrm flipV="1">
          <a:off x="2191183" y="587375"/>
          <a:ext cx="0" cy="34131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133783</xdr:colOff>
      <xdr:row>2</xdr:row>
      <xdr:rowOff>111125</xdr:rowOff>
    </xdr:from>
    <xdr:to>
      <xdr:col>3</xdr:col>
      <xdr:colOff>133783</xdr:colOff>
      <xdr:row>16</xdr:row>
      <xdr:rowOff>190500</xdr:rowOff>
    </xdr:to>
    <xdr:cxnSp macro="">
      <xdr:nvCxnSpPr>
        <xdr:cNvPr id="2197" name="line01">
          <a:extLst>
            <a:ext uri="{FF2B5EF4-FFF2-40B4-BE49-F238E27FC236}">
              <a16:creationId xmlns:a16="http://schemas.microsoft.com/office/drawing/2014/main" id="{3B2A7E49-346D-4E71-89E3-649BC63BFB7B}"/>
            </a:ext>
          </a:extLst>
        </xdr:cNvPr>
        <xdr:cNvCxnSpPr/>
      </xdr:nvCxnSpPr>
      <xdr:spPr>
        <a:xfrm flipV="1">
          <a:off x="2191183" y="587375"/>
          <a:ext cx="0" cy="34131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670791</xdr:colOff>
      <xdr:row>12</xdr:row>
      <xdr:rowOff>108239</xdr:rowOff>
    </xdr:from>
    <xdr:to>
      <xdr:col>5</xdr:col>
      <xdr:colOff>342900</xdr:colOff>
      <xdr:row>12</xdr:row>
      <xdr:rowOff>108239</xdr:rowOff>
    </xdr:to>
    <xdr:cxnSp macro="">
      <xdr:nvCxnSpPr>
        <xdr:cNvPr id="2198" name="line01">
          <a:extLst>
            <a:ext uri="{FF2B5EF4-FFF2-40B4-BE49-F238E27FC236}">
              <a16:creationId xmlns:a16="http://schemas.microsoft.com/office/drawing/2014/main" id="{4C7016CF-DABE-4AB4-A358-37D3C6AABA56}"/>
            </a:ext>
          </a:extLst>
        </xdr:cNvPr>
        <xdr:cNvCxnSpPr/>
      </xdr:nvCxnSpPr>
      <xdr:spPr>
        <a:xfrm>
          <a:off x="670791" y="2965739"/>
          <a:ext cx="31296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670791</xdr:colOff>
      <xdr:row>12</xdr:row>
      <xdr:rowOff>108239</xdr:rowOff>
    </xdr:from>
    <xdr:to>
      <xdr:col>5</xdr:col>
      <xdr:colOff>342900</xdr:colOff>
      <xdr:row>12</xdr:row>
      <xdr:rowOff>108239</xdr:rowOff>
    </xdr:to>
    <xdr:cxnSp macro="">
      <xdr:nvCxnSpPr>
        <xdr:cNvPr id="2199" name="line01">
          <a:extLst>
            <a:ext uri="{FF2B5EF4-FFF2-40B4-BE49-F238E27FC236}">
              <a16:creationId xmlns:a16="http://schemas.microsoft.com/office/drawing/2014/main" id="{0950E7FD-62C7-436F-8DBB-3234CBFA873D}"/>
            </a:ext>
          </a:extLst>
        </xdr:cNvPr>
        <xdr:cNvCxnSpPr/>
      </xdr:nvCxnSpPr>
      <xdr:spPr>
        <a:xfrm>
          <a:off x="670791" y="2965739"/>
          <a:ext cx="31296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2200" name="line02">
          <a:extLst>
            <a:ext uri="{FF2B5EF4-FFF2-40B4-BE49-F238E27FC236}">
              <a16:creationId xmlns:a16="http://schemas.microsoft.com/office/drawing/2014/main" id="{55D9012E-C620-4FA7-B2FB-C73D00203EB4}"/>
            </a:ext>
          </a:extLst>
        </xdr:cNvPr>
        <xdr:cNvCxnSpPr/>
      </xdr:nvCxnSpPr>
      <xdr:spPr>
        <a:xfrm>
          <a:off x="924791" y="3810000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8</xdr:row>
      <xdr:rowOff>216477</xdr:rowOff>
    </xdr:from>
    <xdr:to>
      <xdr:col>5</xdr:col>
      <xdr:colOff>0</xdr:colOff>
      <xdr:row>8</xdr:row>
      <xdr:rowOff>216477</xdr:rowOff>
    </xdr:to>
    <xdr:cxnSp macro="">
      <xdr:nvCxnSpPr>
        <xdr:cNvPr id="2201" name="line02">
          <a:extLst>
            <a:ext uri="{FF2B5EF4-FFF2-40B4-BE49-F238E27FC236}">
              <a16:creationId xmlns:a16="http://schemas.microsoft.com/office/drawing/2014/main" id="{69E0DA80-52ED-4444-ABB7-0815CB3A577D}"/>
            </a:ext>
          </a:extLst>
        </xdr:cNvPr>
        <xdr:cNvCxnSpPr/>
      </xdr:nvCxnSpPr>
      <xdr:spPr>
        <a:xfrm>
          <a:off x="924791" y="2121477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8</xdr:row>
      <xdr:rowOff>216477</xdr:rowOff>
    </xdr:from>
    <xdr:to>
      <xdr:col>1</xdr:col>
      <xdr:colOff>238991</xdr:colOff>
      <xdr:row>16</xdr:row>
      <xdr:rowOff>0</xdr:rowOff>
    </xdr:to>
    <xdr:cxnSp macro="">
      <xdr:nvCxnSpPr>
        <xdr:cNvPr id="2202" name="line02">
          <a:extLst>
            <a:ext uri="{FF2B5EF4-FFF2-40B4-BE49-F238E27FC236}">
              <a16:creationId xmlns:a16="http://schemas.microsoft.com/office/drawing/2014/main" id="{573D850E-43AF-4052-8D9A-D95DFB9E8992}"/>
            </a:ext>
          </a:extLst>
        </xdr:cNvPr>
        <xdr:cNvCxnSpPr/>
      </xdr:nvCxnSpPr>
      <xdr:spPr>
        <a:xfrm flipV="1">
          <a:off x="924791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216477</xdr:rowOff>
    </xdr:from>
    <xdr:to>
      <xdr:col>5</xdr:col>
      <xdr:colOff>0</xdr:colOff>
      <xdr:row>16</xdr:row>
      <xdr:rowOff>0</xdr:rowOff>
    </xdr:to>
    <xdr:cxnSp macro="">
      <xdr:nvCxnSpPr>
        <xdr:cNvPr id="2203" name="line02">
          <a:extLst>
            <a:ext uri="{FF2B5EF4-FFF2-40B4-BE49-F238E27FC236}">
              <a16:creationId xmlns:a16="http://schemas.microsoft.com/office/drawing/2014/main" id="{DF1F09C4-CF83-4C45-A202-835BF13FA7EE}"/>
            </a:ext>
          </a:extLst>
        </xdr:cNvPr>
        <xdr:cNvCxnSpPr/>
      </xdr:nvCxnSpPr>
      <xdr:spPr>
        <a:xfrm flipV="1">
          <a:off x="3457575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7</xdr:row>
      <xdr:rowOff>32472</xdr:rowOff>
    </xdr:from>
    <xdr:to>
      <xdr:col>5</xdr:col>
      <xdr:colOff>0</xdr:colOff>
      <xdr:row>7</xdr:row>
      <xdr:rowOff>32472</xdr:rowOff>
    </xdr:to>
    <xdr:cxnSp macro="">
      <xdr:nvCxnSpPr>
        <xdr:cNvPr id="2204" name="line02">
          <a:extLst>
            <a:ext uri="{FF2B5EF4-FFF2-40B4-BE49-F238E27FC236}">
              <a16:creationId xmlns:a16="http://schemas.microsoft.com/office/drawing/2014/main" id="{7150C6B6-8093-459A-BEB1-FB2684EEC08A}"/>
            </a:ext>
          </a:extLst>
        </xdr:cNvPr>
        <xdr:cNvCxnSpPr/>
      </xdr:nvCxnSpPr>
      <xdr:spPr>
        <a:xfrm>
          <a:off x="924791" y="1699347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5</xdr:row>
      <xdr:rowOff>86591</xdr:rowOff>
    </xdr:from>
    <xdr:to>
      <xdr:col>5</xdr:col>
      <xdr:colOff>0</xdr:colOff>
      <xdr:row>5</xdr:row>
      <xdr:rowOff>86591</xdr:rowOff>
    </xdr:to>
    <xdr:cxnSp macro="">
      <xdr:nvCxnSpPr>
        <xdr:cNvPr id="2205" name="line02">
          <a:extLst>
            <a:ext uri="{FF2B5EF4-FFF2-40B4-BE49-F238E27FC236}">
              <a16:creationId xmlns:a16="http://schemas.microsoft.com/office/drawing/2014/main" id="{B96E032B-2671-437A-A7E7-4A1EF7CDDBA8}"/>
            </a:ext>
          </a:extLst>
        </xdr:cNvPr>
        <xdr:cNvCxnSpPr/>
      </xdr:nvCxnSpPr>
      <xdr:spPr>
        <a:xfrm>
          <a:off x="924791" y="1277216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5</xdr:row>
      <xdr:rowOff>86591</xdr:rowOff>
    </xdr:from>
    <xdr:to>
      <xdr:col>1</xdr:col>
      <xdr:colOff>238991</xdr:colOff>
      <xdr:row>7</xdr:row>
      <xdr:rowOff>32472</xdr:rowOff>
    </xdr:to>
    <xdr:cxnSp macro="">
      <xdr:nvCxnSpPr>
        <xdr:cNvPr id="2206" name="line02">
          <a:extLst>
            <a:ext uri="{FF2B5EF4-FFF2-40B4-BE49-F238E27FC236}">
              <a16:creationId xmlns:a16="http://schemas.microsoft.com/office/drawing/2014/main" id="{3DCC6B8A-E604-4A29-B2EE-3AC9444FFD7A}"/>
            </a:ext>
          </a:extLst>
        </xdr:cNvPr>
        <xdr:cNvCxnSpPr/>
      </xdr:nvCxnSpPr>
      <xdr:spPr>
        <a:xfrm flipV="1">
          <a:off x="924791" y="1277216"/>
          <a:ext cx="0" cy="42213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86591</xdr:rowOff>
    </xdr:from>
    <xdr:to>
      <xdr:col>5</xdr:col>
      <xdr:colOff>0</xdr:colOff>
      <xdr:row>7</xdr:row>
      <xdr:rowOff>32472</xdr:rowOff>
    </xdr:to>
    <xdr:cxnSp macro="">
      <xdr:nvCxnSpPr>
        <xdr:cNvPr id="2207" name="line02">
          <a:extLst>
            <a:ext uri="{FF2B5EF4-FFF2-40B4-BE49-F238E27FC236}">
              <a16:creationId xmlns:a16="http://schemas.microsoft.com/office/drawing/2014/main" id="{0E594AA2-73FB-49B2-B475-F837CD2B617C}"/>
            </a:ext>
          </a:extLst>
        </xdr:cNvPr>
        <xdr:cNvCxnSpPr/>
      </xdr:nvCxnSpPr>
      <xdr:spPr>
        <a:xfrm flipV="1">
          <a:off x="3457575" y="1277216"/>
          <a:ext cx="0" cy="42213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291920</xdr:colOff>
      <xdr:row>3</xdr:row>
      <xdr:rowOff>0</xdr:rowOff>
    </xdr:from>
    <xdr:to>
      <xdr:col>2</xdr:col>
      <xdr:colOff>291920</xdr:colOff>
      <xdr:row>5</xdr:row>
      <xdr:rowOff>86591</xdr:rowOff>
    </xdr:to>
    <xdr:cxnSp macro="">
      <xdr:nvCxnSpPr>
        <xdr:cNvPr id="2208" name="line02">
          <a:extLst>
            <a:ext uri="{FF2B5EF4-FFF2-40B4-BE49-F238E27FC236}">
              <a16:creationId xmlns:a16="http://schemas.microsoft.com/office/drawing/2014/main" id="{CB13C6BC-FB62-4F04-B386-05AD069EF548}"/>
            </a:ext>
          </a:extLst>
        </xdr:cNvPr>
        <xdr:cNvCxnSpPr/>
      </xdr:nvCxnSpPr>
      <xdr:spPr>
        <a:xfrm flipV="1">
          <a:off x="1663520" y="714375"/>
          <a:ext cx="0" cy="56284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661446</xdr:colOff>
      <xdr:row>3</xdr:row>
      <xdr:rowOff>0</xdr:rowOff>
    </xdr:from>
    <xdr:to>
      <xdr:col>3</xdr:col>
      <xdr:colOff>661446</xdr:colOff>
      <xdr:row>5</xdr:row>
      <xdr:rowOff>86591</xdr:rowOff>
    </xdr:to>
    <xdr:cxnSp macro="">
      <xdr:nvCxnSpPr>
        <xdr:cNvPr id="2209" name="line02">
          <a:extLst>
            <a:ext uri="{FF2B5EF4-FFF2-40B4-BE49-F238E27FC236}">
              <a16:creationId xmlns:a16="http://schemas.microsoft.com/office/drawing/2014/main" id="{CC59533D-F85A-4AC5-AF7A-78C1A1AD428E}"/>
            </a:ext>
          </a:extLst>
        </xdr:cNvPr>
        <xdr:cNvCxnSpPr/>
      </xdr:nvCxnSpPr>
      <xdr:spPr>
        <a:xfrm flipV="1">
          <a:off x="2718846" y="714375"/>
          <a:ext cx="0" cy="56284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291920</xdr:colOff>
      <xdr:row>14</xdr:row>
      <xdr:rowOff>159652</xdr:rowOff>
    </xdr:from>
    <xdr:to>
      <xdr:col>3</xdr:col>
      <xdr:colOff>661446</xdr:colOff>
      <xdr:row>14</xdr:row>
      <xdr:rowOff>159652</xdr:rowOff>
    </xdr:to>
    <xdr:cxnSp macro="">
      <xdr:nvCxnSpPr>
        <xdr:cNvPr id="2210" name="line02">
          <a:extLst>
            <a:ext uri="{FF2B5EF4-FFF2-40B4-BE49-F238E27FC236}">
              <a16:creationId xmlns:a16="http://schemas.microsoft.com/office/drawing/2014/main" id="{9304BAC4-6A05-4635-AC0D-079C98091287}"/>
            </a:ext>
          </a:extLst>
        </xdr:cNvPr>
        <xdr:cNvCxnSpPr/>
      </xdr:nvCxnSpPr>
      <xdr:spPr>
        <a:xfrm>
          <a:off x="1663520" y="3493402"/>
          <a:ext cx="1055326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291920</xdr:colOff>
      <xdr:row>10</xdr:row>
      <xdr:rowOff>56825</xdr:rowOff>
    </xdr:from>
    <xdr:to>
      <xdr:col>3</xdr:col>
      <xdr:colOff>661446</xdr:colOff>
      <xdr:row>10</xdr:row>
      <xdr:rowOff>56825</xdr:rowOff>
    </xdr:to>
    <xdr:cxnSp macro="">
      <xdr:nvCxnSpPr>
        <xdr:cNvPr id="2211" name="line02">
          <a:extLst>
            <a:ext uri="{FF2B5EF4-FFF2-40B4-BE49-F238E27FC236}">
              <a16:creationId xmlns:a16="http://schemas.microsoft.com/office/drawing/2014/main" id="{634A6A5F-472F-44CF-A874-E0ACDC157876}"/>
            </a:ext>
          </a:extLst>
        </xdr:cNvPr>
        <xdr:cNvCxnSpPr/>
      </xdr:nvCxnSpPr>
      <xdr:spPr>
        <a:xfrm>
          <a:off x="1663520" y="2438075"/>
          <a:ext cx="1055326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291920</xdr:colOff>
      <xdr:row>10</xdr:row>
      <xdr:rowOff>56825</xdr:rowOff>
    </xdr:from>
    <xdr:to>
      <xdr:col>2</xdr:col>
      <xdr:colOff>291920</xdr:colOff>
      <xdr:row>14</xdr:row>
      <xdr:rowOff>159652</xdr:rowOff>
    </xdr:to>
    <xdr:cxnSp macro="">
      <xdr:nvCxnSpPr>
        <xdr:cNvPr id="2212" name="line02">
          <a:extLst>
            <a:ext uri="{FF2B5EF4-FFF2-40B4-BE49-F238E27FC236}">
              <a16:creationId xmlns:a16="http://schemas.microsoft.com/office/drawing/2014/main" id="{A340E19E-1B5E-4167-A37B-B455C72BC668}"/>
            </a:ext>
          </a:extLst>
        </xdr:cNvPr>
        <xdr:cNvCxnSpPr/>
      </xdr:nvCxnSpPr>
      <xdr:spPr>
        <a:xfrm flipV="1">
          <a:off x="1663520" y="2438075"/>
          <a:ext cx="0" cy="1055327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661446</xdr:colOff>
      <xdr:row>10</xdr:row>
      <xdr:rowOff>56825</xdr:rowOff>
    </xdr:from>
    <xdr:to>
      <xdr:col>3</xdr:col>
      <xdr:colOff>661446</xdr:colOff>
      <xdr:row>14</xdr:row>
      <xdr:rowOff>159652</xdr:rowOff>
    </xdr:to>
    <xdr:cxnSp macro="">
      <xdr:nvCxnSpPr>
        <xdr:cNvPr id="2213" name="line02">
          <a:extLst>
            <a:ext uri="{FF2B5EF4-FFF2-40B4-BE49-F238E27FC236}">
              <a16:creationId xmlns:a16="http://schemas.microsoft.com/office/drawing/2014/main" id="{8443C615-D616-4DB1-A857-7B60C7BC4585}"/>
            </a:ext>
          </a:extLst>
        </xdr:cNvPr>
        <xdr:cNvCxnSpPr/>
      </xdr:nvCxnSpPr>
      <xdr:spPr>
        <a:xfrm flipV="1">
          <a:off x="2718846" y="2438075"/>
          <a:ext cx="0" cy="1055327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635000</xdr:colOff>
      <xdr:row>3</xdr:row>
      <xdr:rowOff>0</xdr:rowOff>
    </xdr:from>
    <xdr:to>
      <xdr:col>5</xdr:col>
      <xdr:colOff>635000</xdr:colOff>
      <xdr:row>7</xdr:row>
      <xdr:rowOff>32472</xdr:rowOff>
    </xdr:to>
    <xdr:cxnSp macro="">
      <xdr:nvCxnSpPr>
        <xdr:cNvPr id="2214" name="line02">
          <a:extLst>
            <a:ext uri="{FF2B5EF4-FFF2-40B4-BE49-F238E27FC236}">
              <a16:creationId xmlns:a16="http://schemas.microsoft.com/office/drawing/2014/main" id="{365654DB-A87C-435F-AB63-B16B22E3804E}"/>
            </a:ext>
          </a:extLst>
        </xdr:cNvPr>
        <xdr:cNvCxnSpPr/>
      </xdr:nvCxnSpPr>
      <xdr:spPr>
        <a:xfrm flipV="1">
          <a:off x="4092575" y="714375"/>
          <a:ext cx="0" cy="984972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86591</xdr:rowOff>
    </xdr:from>
    <xdr:to>
      <xdr:col>5</xdr:col>
      <xdr:colOff>317500</xdr:colOff>
      <xdr:row>7</xdr:row>
      <xdr:rowOff>32472</xdr:rowOff>
    </xdr:to>
    <xdr:cxnSp macro="">
      <xdr:nvCxnSpPr>
        <xdr:cNvPr id="2215" name="line02">
          <a:extLst>
            <a:ext uri="{FF2B5EF4-FFF2-40B4-BE49-F238E27FC236}">
              <a16:creationId xmlns:a16="http://schemas.microsoft.com/office/drawing/2014/main" id="{78FCE3BD-0B20-4EF6-8410-3A7BD8E5A0A7}"/>
            </a:ext>
          </a:extLst>
        </xdr:cNvPr>
        <xdr:cNvCxnSpPr/>
      </xdr:nvCxnSpPr>
      <xdr:spPr>
        <a:xfrm flipV="1">
          <a:off x="3775075" y="1277216"/>
          <a:ext cx="0" cy="42213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32472</xdr:rowOff>
    </xdr:from>
    <xdr:to>
      <xdr:col>6</xdr:col>
      <xdr:colOff>12700</xdr:colOff>
      <xdr:row>7</xdr:row>
      <xdr:rowOff>32472</xdr:rowOff>
    </xdr:to>
    <xdr:cxnSp macro="">
      <xdr:nvCxnSpPr>
        <xdr:cNvPr id="2216" name="line02">
          <a:extLst>
            <a:ext uri="{FF2B5EF4-FFF2-40B4-BE49-F238E27FC236}">
              <a16:creationId xmlns:a16="http://schemas.microsoft.com/office/drawing/2014/main" id="{89900975-A83E-4A04-A775-9C934535359F}"/>
            </a:ext>
          </a:extLst>
        </xdr:cNvPr>
        <xdr:cNvCxnSpPr/>
      </xdr:nvCxnSpPr>
      <xdr:spPr>
        <a:xfrm>
          <a:off x="3521075" y="1699347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86591</xdr:rowOff>
    </xdr:from>
    <xdr:to>
      <xdr:col>5</xdr:col>
      <xdr:colOff>355600</xdr:colOff>
      <xdr:row>5</xdr:row>
      <xdr:rowOff>86591</xdr:rowOff>
    </xdr:to>
    <xdr:cxnSp macro="">
      <xdr:nvCxnSpPr>
        <xdr:cNvPr id="2217" name="line02">
          <a:extLst>
            <a:ext uri="{FF2B5EF4-FFF2-40B4-BE49-F238E27FC236}">
              <a16:creationId xmlns:a16="http://schemas.microsoft.com/office/drawing/2014/main" id="{A1504EB0-1B20-492A-9A9C-800BD9B3EF44}"/>
            </a:ext>
          </a:extLst>
        </xdr:cNvPr>
        <xdr:cNvCxnSpPr/>
      </xdr:nvCxnSpPr>
      <xdr:spPr>
        <a:xfrm>
          <a:off x="3521075" y="1277216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17</xdr:row>
      <xdr:rowOff>142875</xdr:rowOff>
    </xdr:from>
    <xdr:to>
      <xdr:col>5</xdr:col>
      <xdr:colOff>0</xdr:colOff>
      <xdr:row>17</xdr:row>
      <xdr:rowOff>142875</xdr:rowOff>
    </xdr:to>
    <xdr:cxnSp macro="">
      <xdr:nvCxnSpPr>
        <xdr:cNvPr id="2218" name="line02">
          <a:extLst>
            <a:ext uri="{FF2B5EF4-FFF2-40B4-BE49-F238E27FC236}">
              <a16:creationId xmlns:a16="http://schemas.microsoft.com/office/drawing/2014/main" id="{06D72BCD-8E0E-4D94-896F-202F0783FDEB}"/>
            </a:ext>
          </a:extLst>
        </xdr:cNvPr>
        <xdr:cNvCxnSpPr/>
      </xdr:nvCxnSpPr>
      <xdr:spPr>
        <a:xfrm>
          <a:off x="924791" y="4191000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2219" name="line02">
          <a:extLst>
            <a:ext uri="{FF2B5EF4-FFF2-40B4-BE49-F238E27FC236}">
              <a16:creationId xmlns:a16="http://schemas.microsoft.com/office/drawing/2014/main" id="{04D1E734-14AB-4906-BF9F-EFEDB2AC167E}"/>
            </a:ext>
          </a:extLst>
        </xdr:cNvPr>
        <xdr:cNvCxnSpPr/>
      </xdr:nvCxnSpPr>
      <xdr:spPr>
        <a:xfrm>
          <a:off x="924791" y="4000500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16</xdr:row>
      <xdr:rowOff>38100</xdr:rowOff>
    </xdr:from>
    <xdr:to>
      <xdr:col>1</xdr:col>
      <xdr:colOff>238991</xdr:colOff>
      <xdr:row>17</xdr:row>
      <xdr:rowOff>142875</xdr:rowOff>
    </xdr:to>
    <xdr:cxnSp macro="">
      <xdr:nvCxnSpPr>
        <xdr:cNvPr id="2220" name="line02">
          <a:extLst>
            <a:ext uri="{FF2B5EF4-FFF2-40B4-BE49-F238E27FC236}">
              <a16:creationId xmlns:a16="http://schemas.microsoft.com/office/drawing/2014/main" id="{48F657CB-0FF5-445D-A048-EECB097BD0AB}"/>
            </a:ext>
          </a:extLst>
        </xdr:cNvPr>
        <xdr:cNvCxnSpPr/>
      </xdr:nvCxnSpPr>
      <xdr:spPr>
        <a:xfrm flipV="1">
          <a:off x="924791" y="38481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142875</xdr:rowOff>
    </xdr:to>
    <xdr:cxnSp macro="">
      <xdr:nvCxnSpPr>
        <xdr:cNvPr id="2221" name="line02">
          <a:extLst>
            <a:ext uri="{FF2B5EF4-FFF2-40B4-BE49-F238E27FC236}">
              <a16:creationId xmlns:a16="http://schemas.microsoft.com/office/drawing/2014/main" id="{7B7C1776-7BA8-4EC8-B410-3BFC7F9F2C54}"/>
            </a:ext>
          </a:extLst>
        </xdr:cNvPr>
        <xdr:cNvCxnSpPr/>
      </xdr:nvCxnSpPr>
      <xdr:spPr>
        <a:xfrm flipV="1">
          <a:off x="3457575" y="38481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635000</xdr:colOff>
      <xdr:row>8</xdr:row>
      <xdr:rowOff>216477</xdr:rowOff>
    </xdr:from>
    <xdr:to>
      <xdr:col>5</xdr:col>
      <xdr:colOff>635000</xdr:colOff>
      <xdr:row>16</xdr:row>
      <xdr:rowOff>0</xdr:rowOff>
    </xdr:to>
    <xdr:cxnSp macro="">
      <xdr:nvCxnSpPr>
        <xdr:cNvPr id="2222" name="line02">
          <a:extLst>
            <a:ext uri="{FF2B5EF4-FFF2-40B4-BE49-F238E27FC236}">
              <a16:creationId xmlns:a16="http://schemas.microsoft.com/office/drawing/2014/main" id="{D1A07811-3EF7-46DF-9C16-A4180292BB1D}"/>
            </a:ext>
          </a:extLst>
        </xdr:cNvPr>
        <xdr:cNvCxnSpPr/>
      </xdr:nvCxnSpPr>
      <xdr:spPr>
        <a:xfrm flipV="1">
          <a:off x="4092575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216477</xdr:rowOff>
    </xdr:from>
    <xdr:to>
      <xdr:col>5</xdr:col>
      <xdr:colOff>317500</xdr:colOff>
      <xdr:row>16</xdr:row>
      <xdr:rowOff>0</xdr:rowOff>
    </xdr:to>
    <xdr:cxnSp macro="">
      <xdr:nvCxnSpPr>
        <xdr:cNvPr id="2223" name="line02">
          <a:extLst>
            <a:ext uri="{FF2B5EF4-FFF2-40B4-BE49-F238E27FC236}">
              <a16:creationId xmlns:a16="http://schemas.microsoft.com/office/drawing/2014/main" id="{FF14C71F-157F-4B70-90F1-4D0A322E374F}"/>
            </a:ext>
          </a:extLst>
        </xdr:cNvPr>
        <xdr:cNvCxnSpPr/>
      </xdr:nvCxnSpPr>
      <xdr:spPr>
        <a:xfrm flipV="1">
          <a:off x="3775075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5</xdr:col>
      <xdr:colOff>660400</xdr:colOff>
      <xdr:row>16</xdr:row>
      <xdr:rowOff>0</xdr:rowOff>
    </xdr:to>
    <xdr:cxnSp macro="">
      <xdr:nvCxnSpPr>
        <xdr:cNvPr id="2224" name="line02">
          <a:extLst>
            <a:ext uri="{FF2B5EF4-FFF2-40B4-BE49-F238E27FC236}">
              <a16:creationId xmlns:a16="http://schemas.microsoft.com/office/drawing/2014/main" id="{2354F7B9-05C9-4F80-AE56-F557B0A3DF46}"/>
            </a:ext>
          </a:extLst>
        </xdr:cNvPr>
        <xdr:cNvCxnSpPr/>
      </xdr:nvCxnSpPr>
      <xdr:spPr>
        <a:xfrm>
          <a:off x="3521075" y="38100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216477</xdr:rowOff>
    </xdr:from>
    <xdr:to>
      <xdr:col>5</xdr:col>
      <xdr:colOff>660400</xdr:colOff>
      <xdr:row>8</xdr:row>
      <xdr:rowOff>216477</xdr:rowOff>
    </xdr:to>
    <xdr:cxnSp macro="">
      <xdr:nvCxnSpPr>
        <xdr:cNvPr id="2225" name="line02">
          <a:extLst>
            <a:ext uri="{FF2B5EF4-FFF2-40B4-BE49-F238E27FC236}">
              <a16:creationId xmlns:a16="http://schemas.microsoft.com/office/drawing/2014/main" id="{A561596E-71EA-4303-8615-437236589366}"/>
            </a:ext>
          </a:extLst>
        </xdr:cNvPr>
        <xdr:cNvCxnSpPr/>
      </xdr:nvCxnSpPr>
      <xdr:spPr>
        <a:xfrm>
          <a:off x="3521075" y="2121477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5</xdr:col>
      <xdr:colOff>673100</xdr:colOff>
      <xdr:row>5</xdr:row>
      <xdr:rowOff>158750</xdr:rowOff>
    </xdr:to>
    <xdr:sp macro="" textlink="">
      <xdr:nvSpPr>
        <xdr:cNvPr id="2226" name="textboxDf">
          <a:extLst>
            <a:ext uri="{FF2B5EF4-FFF2-40B4-BE49-F238E27FC236}">
              <a16:creationId xmlns:a16="http://schemas.microsoft.com/office/drawing/2014/main" id="{F922065C-3B9D-4F92-BE01-3073D5AA8FB6}"/>
            </a:ext>
          </a:extLst>
        </xdr:cNvPr>
        <xdr:cNvSpPr txBox="1"/>
      </xdr:nvSpPr>
      <xdr:spPr>
        <a:xfrm rot="16200000">
          <a:off x="3686175" y="9048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4</xdr:row>
      <xdr:rowOff>48347</xdr:rowOff>
    </xdr:from>
    <xdr:to>
      <xdr:col>5</xdr:col>
      <xdr:colOff>381000</xdr:colOff>
      <xdr:row>6</xdr:row>
      <xdr:rowOff>207097</xdr:rowOff>
    </xdr:to>
    <xdr:sp macro="" textlink="">
      <xdr:nvSpPr>
        <xdr:cNvPr id="2227" name="textboxD">
          <a:extLst>
            <a:ext uri="{FF2B5EF4-FFF2-40B4-BE49-F238E27FC236}">
              <a16:creationId xmlns:a16="http://schemas.microsoft.com/office/drawing/2014/main" id="{9EED38DA-7E47-4BF1-AFA2-6F76B1D3D941}"/>
            </a:ext>
          </a:extLst>
        </xdr:cNvPr>
        <xdr:cNvSpPr txBox="1"/>
      </xdr:nvSpPr>
      <xdr:spPr>
        <a:xfrm rot="16200000">
          <a:off x="3394075" y="1191347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225136</xdr:rowOff>
    </xdr:from>
    <xdr:to>
      <xdr:col>6</xdr:col>
      <xdr:colOff>12700</xdr:colOff>
      <xdr:row>13</xdr:row>
      <xdr:rowOff>145761</xdr:rowOff>
    </xdr:to>
    <xdr:sp macro="" textlink="">
      <xdr:nvSpPr>
        <xdr:cNvPr id="2228" name="textboxB">
          <a:extLst>
            <a:ext uri="{FF2B5EF4-FFF2-40B4-BE49-F238E27FC236}">
              <a16:creationId xmlns:a16="http://schemas.microsoft.com/office/drawing/2014/main" id="{3781013E-542F-4303-ADC1-3B8D425F02A0}"/>
            </a:ext>
          </a:extLst>
        </xdr:cNvPr>
        <xdr:cNvSpPr txBox="1"/>
      </xdr:nvSpPr>
      <xdr:spPr>
        <a:xfrm rot="16200000">
          <a:off x="3711575" y="279688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194830</xdr:rowOff>
    </xdr:from>
    <xdr:to>
      <xdr:col>5</xdr:col>
      <xdr:colOff>368300</xdr:colOff>
      <xdr:row>11</xdr:row>
      <xdr:rowOff>115455</xdr:rowOff>
    </xdr:to>
    <xdr:sp macro="" textlink="">
      <xdr:nvSpPr>
        <xdr:cNvPr id="2229" name="textboxl2">
          <a:extLst>
            <a:ext uri="{FF2B5EF4-FFF2-40B4-BE49-F238E27FC236}">
              <a16:creationId xmlns:a16="http://schemas.microsoft.com/office/drawing/2014/main" id="{1F1EEBEC-E811-4D06-B1B8-1EBE34E2BF69}"/>
            </a:ext>
          </a:extLst>
        </xdr:cNvPr>
        <xdr:cNvSpPr txBox="1"/>
      </xdr:nvSpPr>
      <xdr:spPr>
        <a:xfrm rot="16200000">
          <a:off x="3381375" y="229033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219364</xdr:rowOff>
    </xdr:from>
    <xdr:to>
      <xdr:col>5</xdr:col>
      <xdr:colOff>368300</xdr:colOff>
      <xdr:row>15</xdr:row>
      <xdr:rowOff>28864</xdr:rowOff>
    </xdr:to>
    <xdr:sp macro="" textlink="">
      <xdr:nvSpPr>
        <xdr:cNvPr id="2230" name="textboxex">
          <a:extLst>
            <a:ext uri="{FF2B5EF4-FFF2-40B4-BE49-F238E27FC236}">
              <a16:creationId xmlns:a16="http://schemas.microsoft.com/office/drawing/2014/main" id="{68444A05-510E-46FA-934B-C576138EB6D3}"/>
            </a:ext>
          </a:extLst>
        </xdr:cNvPr>
        <xdr:cNvSpPr txBox="1"/>
      </xdr:nvSpPr>
      <xdr:spPr>
        <a:xfrm rot="16200000">
          <a:off x="3317875" y="3092739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566305</xdr:colOff>
      <xdr:row>16</xdr:row>
      <xdr:rowOff>190500</xdr:rowOff>
    </xdr:from>
    <xdr:to>
      <xdr:col>3</xdr:col>
      <xdr:colOff>515505</xdr:colOff>
      <xdr:row>17</xdr:row>
      <xdr:rowOff>206375</xdr:rowOff>
    </xdr:to>
    <xdr:sp macro="" textlink="">
      <xdr:nvSpPr>
        <xdr:cNvPr id="2231" name="textboxl">
          <a:extLst>
            <a:ext uri="{FF2B5EF4-FFF2-40B4-BE49-F238E27FC236}">
              <a16:creationId xmlns:a16="http://schemas.microsoft.com/office/drawing/2014/main" id="{1E1D87FA-8BE6-4F43-BEBF-89C495C670AD}"/>
            </a:ext>
          </a:extLst>
        </xdr:cNvPr>
        <xdr:cNvSpPr txBox="1"/>
      </xdr:nvSpPr>
      <xdr:spPr>
        <a:xfrm>
          <a:off x="1937905" y="40005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513701</xdr:colOff>
      <xdr:row>16</xdr:row>
      <xdr:rowOff>0</xdr:rowOff>
    </xdr:from>
    <xdr:to>
      <xdr:col>4</xdr:col>
      <xdr:colOff>462901</xdr:colOff>
      <xdr:row>17</xdr:row>
      <xdr:rowOff>15875</xdr:rowOff>
    </xdr:to>
    <xdr:sp macro="" textlink="">
      <xdr:nvSpPr>
        <xdr:cNvPr id="2232" name="textboxl2">
          <a:extLst>
            <a:ext uri="{FF2B5EF4-FFF2-40B4-BE49-F238E27FC236}">
              <a16:creationId xmlns:a16="http://schemas.microsoft.com/office/drawing/2014/main" id="{048A7499-A671-461F-AAFE-047D624333CB}"/>
            </a:ext>
          </a:extLst>
        </xdr:cNvPr>
        <xdr:cNvSpPr txBox="1"/>
      </xdr:nvSpPr>
      <xdr:spPr>
        <a:xfrm>
          <a:off x="2571101" y="38100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184583</xdr:colOff>
      <xdr:row>16</xdr:row>
      <xdr:rowOff>0</xdr:rowOff>
    </xdr:from>
    <xdr:to>
      <xdr:col>3</xdr:col>
      <xdr:colOff>387783</xdr:colOff>
      <xdr:row>17</xdr:row>
      <xdr:rowOff>15875</xdr:rowOff>
    </xdr:to>
    <xdr:sp macro="" textlink="">
      <xdr:nvSpPr>
        <xdr:cNvPr id="2233" name="textboxex">
          <a:extLst>
            <a:ext uri="{FF2B5EF4-FFF2-40B4-BE49-F238E27FC236}">
              <a16:creationId xmlns:a16="http://schemas.microsoft.com/office/drawing/2014/main" id="{4F94E6AE-A95C-4EFE-87D5-211CC7CAA1FF}"/>
            </a:ext>
          </a:extLst>
        </xdr:cNvPr>
        <xdr:cNvSpPr txBox="1"/>
      </xdr:nvSpPr>
      <xdr:spPr>
        <a:xfrm>
          <a:off x="1556183" y="38100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13924" name="line01">
          <a:extLst>
            <a:ext uri="{FF2B5EF4-FFF2-40B4-BE49-F238E27FC236}">
              <a16:creationId xmlns:a16="http://schemas.microsoft.com/office/drawing/2014/main" id="{8EF8AB0F-8066-4064-A01C-271EF04B45AC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13925" name="textbox01">
          <a:extLst>
            <a:ext uri="{FF2B5EF4-FFF2-40B4-BE49-F238E27FC236}">
              <a16:creationId xmlns:a16="http://schemas.microsoft.com/office/drawing/2014/main" id="{198CAF6C-7105-4508-B5FB-3DBBE6B14D59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0</xdr:col>
      <xdr:colOff>225425</xdr:colOff>
      <xdr:row>16</xdr:row>
      <xdr:rowOff>0</xdr:rowOff>
    </xdr:from>
    <xdr:to>
      <xdr:col>5</xdr:col>
      <xdr:colOff>127000</xdr:colOff>
      <xdr:row>16</xdr:row>
      <xdr:rowOff>0</xdr:rowOff>
    </xdr:to>
    <xdr:cxnSp macro="">
      <xdr:nvCxnSpPr>
        <xdr:cNvPr id="13926" name="line02">
          <a:extLst>
            <a:ext uri="{FF2B5EF4-FFF2-40B4-BE49-F238E27FC236}">
              <a16:creationId xmlns:a16="http://schemas.microsoft.com/office/drawing/2014/main" id="{31173341-9003-49B6-9937-A1EBB811077A}"/>
            </a:ext>
          </a:extLst>
        </xdr:cNvPr>
        <xdr:cNvCxnSpPr/>
      </xdr:nvCxnSpPr>
      <xdr:spPr>
        <a:xfrm>
          <a:off x="225425" y="3200400"/>
          <a:ext cx="2578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13</xdr:row>
      <xdr:rowOff>147845</xdr:rowOff>
    </xdr:from>
    <xdr:to>
      <xdr:col>3</xdr:col>
      <xdr:colOff>483704</xdr:colOff>
      <xdr:row>16</xdr:row>
      <xdr:rowOff>0</xdr:rowOff>
    </xdr:to>
    <xdr:cxnSp macro="">
      <xdr:nvCxnSpPr>
        <xdr:cNvPr id="13927" name="line02">
          <a:extLst>
            <a:ext uri="{FF2B5EF4-FFF2-40B4-BE49-F238E27FC236}">
              <a16:creationId xmlns:a16="http://schemas.microsoft.com/office/drawing/2014/main" id="{8B6956BC-0455-4ADF-9C66-F8073B81874A}"/>
            </a:ext>
          </a:extLst>
        </xdr:cNvPr>
        <xdr:cNvCxnSpPr/>
      </xdr:nvCxnSpPr>
      <xdr:spPr>
        <a:xfrm flipV="1">
          <a:off x="1772064" y="2748170"/>
          <a:ext cx="226115" cy="45223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13</xdr:row>
      <xdr:rowOff>147845</xdr:rowOff>
    </xdr:from>
    <xdr:to>
      <xdr:col>5</xdr:col>
      <xdr:colOff>0</xdr:colOff>
      <xdr:row>16</xdr:row>
      <xdr:rowOff>0</xdr:rowOff>
    </xdr:to>
    <xdr:cxnSp macro="">
      <xdr:nvCxnSpPr>
        <xdr:cNvPr id="13928" name="line02">
          <a:extLst>
            <a:ext uri="{FF2B5EF4-FFF2-40B4-BE49-F238E27FC236}">
              <a16:creationId xmlns:a16="http://schemas.microsoft.com/office/drawing/2014/main" id="{00137073-A317-45DA-B05C-76FB7CAD309B}"/>
            </a:ext>
          </a:extLst>
        </xdr:cNvPr>
        <xdr:cNvCxnSpPr/>
      </xdr:nvCxnSpPr>
      <xdr:spPr>
        <a:xfrm flipH="1" flipV="1">
          <a:off x="2450410" y="2748170"/>
          <a:ext cx="226115" cy="45223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13</xdr:row>
      <xdr:rowOff>147845</xdr:rowOff>
    </xdr:from>
    <xdr:to>
      <xdr:col>4</xdr:col>
      <xdr:colOff>354910</xdr:colOff>
      <xdr:row>13</xdr:row>
      <xdr:rowOff>147845</xdr:rowOff>
    </xdr:to>
    <xdr:cxnSp macro="">
      <xdr:nvCxnSpPr>
        <xdr:cNvPr id="13929" name="line02">
          <a:extLst>
            <a:ext uri="{FF2B5EF4-FFF2-40B4-BE49-F238E27FC236}">
              <a16:creationId xmlns:a16="http://schemas.microsoft.com/office/drawing/2014/main" id="{4A6DFC9F-DA27-4F76-B10B-E0187EE14629}"/>
            </a:ext>
          </a:extLst>
        </xdr:cNvPr>
        <xdr:cNvCxnSpPr/>
      </xdr:nvCxnSpPr>
      <xdr:spPr>
        <a:xfrm>
          <a:off x="1998179" y="2748170"/>
          <a:ext cx="452231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13</xdr:row>
      <xdr:rowOff>147845</xdr:rowOff>
    </xdr:from>
    <xdr:to>
      <xdr:col>4</xdr:col>
      <xdr:colOff>354910</xdr:colOff>
      <xdr:row>13</xdr:row>
      <xdr:rowOff>147845</xdr:rowOff>
    </xdr:to>
    <xdr:cxnSp macro="">
      <xdr:nvCxnSpPr>
        <xdr:cNvPr id="13930" name="line02">
          <a:extLst>
            <a:ext uri="{FF2B5EF4-FFF2-40B4-BE49-F238E27FC236}">
              <a16:creationId xmlns:a16="http://schemas.microsoft.com/office/drawing/2014/main" id="{E106FC88-D2E1-4546-8140-8EDFB4391CD0}"/>
            </a:ext>
          </a:extLst>
        </xdr:cNvPr>
        <xdr:cNvCxnSpPr/>
      </xdr:nvCxnSpPr>
      <xdr:spPr>
        <a:xfrm>
          <a:off x="1998179" y="2748170"/>
          <a:ext cx="452231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13</xdr:row>
      <xdr:rowOff>147845</xdr:rowOff>
    </xdr:from>
    <xdr:to>
      <xdr:col>3</xdr:col>
      <xdr:colOff>483704</xdr:colOff>
      <xdr:row>13</xdr:row>
      <xdr:rowOff>147845</xdr:rowOff>
    </xdr:to>
    <xdr:cxnSp macro="">
      <xdr:nvCxnSpPr>
        <xdr:cNvPr id="13931" name="line02">
          <a:extLst>
            <a:ext uri="{FF2B5EF4-FFF2-40B4-BE49-F238E27FC236}">
              <a16:creationId xmlns:a16="http://schemas.microsoft.com/office/drawing/2014/main" id="{BA0B6CBA-C751-4B5D-84FD-13571A920351}"/>
            </a:ext>
          </a:extLst>
        </xdr:cNvPr>
        <xdr:cNvCxnSpPr/>
      </xdr:nvCxnSpPr>
      <xdr:spPr>
        <a:xfrm>
          <a:off x="1998179" y="2748170"/>
          <a:ext cx="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13</xdr:row>
      <xdr:rowOff>147845</xdr:rowOff>
    </xdr:from>
    <xdr:to>
      <xdr:col>4</xdr:col>
      <xdr:colOff>354910</xdr:colOff>
      <xdr:row>13</xdr:row>
      <xdr:rowOff>147845</xdr:rowOff>
    </xdr:to>
    <xdr:cxnSp macro="">
      <xdr:nvCxnSpPr>
        <xdr:cNvPr id="13932" name="line02">
          <a:extLst>
            <a:ext uri="{FF2B5EF4-FFF2-40B4-BE49-F238E27FC236}">
              <a16:creationId xmlns:a16="http://schemas.microsoft.com/office/drawing/2014/main" id="{FEB8A632-4C80-4481-9808-632D5556D35F}"/>
            </a:ext>
          </a:extLst>
        </xdr:cNvPr>
        <xdr:cNvCxnSpPr/>
      </xdr:nvCxnSpPr>
      <xdr:spPr>
        <a:xfrm>
          <a:off x="2450410" y="2748170"/>
          <a:ext cx="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3</xdr:row>
      <xdr:rowOff>0</xdr:rowOff>
    </xdr:from>
    <xdr:to>
      <xdr:col>3</xdr:col>
      <xdr:colOff>483704</xdr:colOff>
      <xdr:row>13</xdr:row>
      <xdr:rowOff>147845</xdr:rowOff>
    </xdr:to>
    <xdr:cxnSp macro="">
      <xdr:nvCxnSpPr>
        <xdr:cNvPr id="13933" name="line02">
          <a:extLst>
            <a:ext uri="{FF2B5EF4-FFF2-40B4-BE49-F238E27FC236}">
              <a16:creationId xmlns:a16="http://schemas.microsoft.com/office/drawing/2014/main" id="{2ADC024E-A6ED-4502-A98F-0541FAD558A2}"/>
            </a:ext>
          </a:extLst>
        </xdr:cNvPr>
        <xdr:cNvCxnSpPr/>
      </xdr:nvCxnSpPr>
      <xdr:spPr>
        <a:xfrm flipV="1">
          <a:off x="1998179" y="600075"/>
          <a:ext cx="0" cy="214809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3</xdr:row>
      <xdr:rowOff>0</xdr:rowOff>
    </xdr:from>
    <xdr:to>
      <xdr:col>4</xdr:col>
      <xdr:colOff>354910</xdr:colOff>
      <xdr:row>13</xdr:row>
      <xdr:rowOff>147845</xdr:rowOff>
    </xdr:to>
    <xdr:cxnSp macro="">
      <xdr:nvCxnSpPr>
        <xdr:cNvPr id="13934" name="line02">
          <a:extLst>
            <a:ext uri="{FF2B5EF4-FFF2-40B4-BE49-F238E27FC236}">
              <a16:creationId xmlns:a16="http://schemas.microsoft.com/office/drawing/2014/main" id="{9699134E-8FF2-447E-8522-A4490A29D67C}"/>
            </a:ext>
          </a:extLst>
        </xdr:cNvPr>
        <xdr:cNvCxnSpPr/>
      </xdr:nvCxnSpPr>
      <xdr:spPr>
        <a:xfrm flipV="1">
          <a:off x="2450410" y="600075"/>
          <a:ext cx="0" cy="214809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528927</xdr:colOff>
      <xdr:row>13</xdr:row>
      <xdr:rowOff>20845</xdr:rowOff>
    </xdr:from>
    <xdr:to>
      <xdr:col>3</xdr:col>
      <xdr:colOff>528927</xdr:colOff>
      <xdr:row>13</xdr:row>
      <xdr:rowOff>147845</xdr:rowOff>
    </xdr:to>
    <xdr:cxnSp macro="">
      <xdr:nvCxnSpPr>
        <xdr:cNvPr id="13935" name="line02">
          <a:extLst>
            <a:ext uri="{FF2B5EF4-FFF2-40B4-BE49-F238E27FC236}">
              <a16:creationId xmlns:a16="http://schemas.microsoft.com/office/drawing/2014/main" id="{70A12493-4446-4E82-A1E0-5868FA0170FE}"/>
            </a:ext>
          </a:extLst>
        </xdr:cNvPr>
        <xdr:cNvCxnSpPr/>
      </xdr:nvCxnSpPr>
      <xdr:spPr>
        <a:xfrm flipV="1">
          <a:off x="2043402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574150</xdr:colOff>
      <xdr:row>13</xdr:row>
      <xdr:rowOff>20845</xdr:rowOff>
    </xdr:from>
    <xdr:to>
      <xdr:col>3</xdr:col>
      <xdr:colOff>574150</xdr:colOff>
      <xdr:row>13</xdr:row>
      <xdr:rowOff>147845</xdr:rowOff>
    </xdr:to>
    <xdr:cxnSp macro="">
      <xdr:nvCxnSpPr>
        <xdr:cNvPr id="13936" name="line02">
          <a:extLst>
            <a:ext uri="{FF2B5EF4-FFF2-40B4-BE49-F238E27FC236}">
              <a16:creationId xmlns:a16="http://schemas.microsoft.com/office/drawing/2014/main" id="{7C859DFF-65FF-43E6-A9F2-6E4FD3B55AD4}"/>
            </a:ext>
          </a:extLst>
        </xdr:cNvPr>
        <xdr:cNvCxnSpPr/>
      </xdr:nvCxnSpPr>
      <xdr:spPr>
        <a:xfrm flipV="1">
          <a:off x="2088625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38348</xdr:colOff>
      <xdr:row>13</xdr:row>
      <xdr:rowOff>20845</xdr:rowOff>
    </xdr:from>
    <xdr:to>
      <xdr:col>4</xdr:col>
      <xdr:colOff>38348</xdr:colOff>
      <xdr:row>13</xdr:row>
      <xdr:rowOff>147845</xdr:rowOff>
    </xdr:to>
    <xdr:cxnSp macro="">
      <xdr:nvCxnSpPr>
        <xdr:cNvPr id="13937" name="line02">
          <a:extLst>
            <a:ext uri="{FF2B5EF4-FFF2-40B4-BE49-F238E27FC236}">
              <a16:creationId xmlns:a16="http://schemas.microsoft.com/office/drawing/2014/main" id="{6BA38217-819A-4202-8C1B-8D140025A378}"/>
            </a:ext>
          </a:extLst>
        </xdr:cNvPr>
        <xdr:cNvCxnSpPr/>
      </xdr:nvCxnSpPr>
      <xdr:spPr>
        <a:xfrm flipV="1">
          <a:off x="2133848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83571</xdr:colOff>
      <xdr:row>13</xdr:row>
      <xdr:rowOff>20845</xdr:rowOff>
    </xdr:from>
    <xdr:to>
      <xdr:col>4</xdr:col>
      <xdr:colOff>83571</xdr:colOff>
      <xdr:row>13</xdr:row>
      <xdr:rowOff>147845</xdr:rowOff>
    </xdr:to>
    <xdr:cxnSp macro="">
      <xdr:nvCxnSpPr>
        <xdr:cNvPr id="13938" name="line02">
          <a:extLst>
            <a:ext uri="{FF2B5EF4-FFF2-40B4-BE49-F238E27FC236}">
              <a16:creationId xmlns:a16="http://schemas.microsoft.com/office/drawing/2014/main" id="{7A30BC09-FF40-4B90-AD27-D0A91D21984B}"/>
            </a:ext>
          </a:extLst>
        </xdr:cNvPr>
        <xdr:cNvCxnSpPr/>
      </xdr:nvCxnSpPr>
      <xdr:spPr>
        <a:xfrm flipV="1">
          <a:off x="2179071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128795</xdr:colOff>
      <xdr:row>13</xdr:row>
      <xdr:rowOff>20845</xdr:rowOff>
    </xdr:from>
    <xdr:to>
      <xdr:col>4</xdr:col>
      <xdr:colOff>128795</xdr:colOff>
      <xdr:row>13</xdr:row>
      <xdr:rowOff>147845</xdr:rowOff>
    </xdr:to>
    <xdr:cxnSp macro="">
      <xdr:nvCxnSpPr>
        <xdr:cNvPr id="13939" name="line02">
          <a:extLst>
            <a:ext uri="{FF2B5EF4-FFF2-40B4-BE49-F238E27FC236}">
              <a16:creationId xmlns:a16="http://schemas.microsoft.com/office/drawing/2014/main" id="{5E962D5D-3317-400C-8F71-EFC4DE651ED6}"/>
            </a:ext>
          </a:extLst>
        </xdr:cNvPr>
        <xdr:cNvCxnSpPr/>
      </xdr:nvCxnSpPr>
      <xdr:spPr>
        <a:xfrm flipV="1">
          <a:off x="2224295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174018</xdr:colOff>
      <xdr:row>13</xdr:row>
      <xdr:rowOff>20845</xdr:rowOff>
    </xdr:from>
    <xdr:to>
      <xdr:col>4</xdr:col>
      <xdr:colOff>174018</xdr:colOff>
      <xdr:row>13</xdr:row>
      <xdr:rowOff>147845</xdr:rowOff>
    </xdr:to>
    <xdr:cxnSp macro="">
      <xdr:nvCxnSpPr>
        <xdr:cNvPr id="13940" name="line02">
          <a:extLst>
            <a:ext uri="{FF2B5EF4-FFF2-40B4-BE49-F238E27FC236}">
              <a16:creationId xmlns:a16="http://schemas.microsoft.com/office/drawing/2014/main" id="{B9F2DBCA-67CE-4E34-87B7-83A250A27D01}"/>
            </a:ext>
          </a:extLst>
        </xdr:cNvPr>
        <xdr:cNvCxnSpPr/>
      </xdr:nvCxnSpPr>
      <xdr:spPr>
        <a:xfrm flipV="1">
          <a:off x="2269518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219241</xdr:colOff>
      <xdr:row>13</xdr:row>
      <xdr:rowOff>20845</xdr:rowOff>
    </xdr:from>
    <xdr:to>
      <xdr:col>4</xdr:col>
      <xdr:colOff>219241</xdr:colOff>
      <xdr:row>13</xdr:row>
      <xdr:rowOff>147845</xdr:rowOff>
    </xdr:to>
    <xdr:cxnSp macro="">
      <xdr:nvCxnSpPr>
        <xdr:cNvPr id="13941" name="line02">
          <a:extLst>
            <a:ext uri="{FF2B5EF4-FFF2-40B4-BE49-F238E27FC236}">
              <a16:creationId xmlns:a16="http://schemas.microsoft.com/office/drawing/2014/main" id="{955D8121-1773-4ABA-8CC5-DECAB8369E00}"/>
            </a:ext>
          </a:extLst>
        </xdr:cNvPr>
        <xdr:cNvCxnSpPr/>
      </xdr:nvCxnSpPr>
      <xdr:spPr>
        <a:xfrm flipV="1">
          <a:off x="2314741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264464</xdr:colOff>
      <xdr:row>13</xdr:row>
      <xdr:rowOff>20845</xdr:rowOff>
    </xdr:from>
    <xdr:to>
      <xdr:col>4</xdr:col>
      <xdr:colOff>264464</xdr:colOff>
      <xdr:row>13</xdr:row>
      <xdr:rowOff>147845</xdr:rowOff>
    </xdr:to>
    <xdr:cxnSp macro="">
      <xdr:nvCxnSpPr>
        <xdr:cNvPr id="13942" name="line02">
          <a:extLst>
            <a:ext uri="{FF2B5EF4-FFF2-40B4-BE49-F238E27FC236}">
              <a16:creationId xmlns:a16="http://schemas.microsoft.com/office/drawing/2014/main" id="{388FE843-70BC-42E6-AA62-567D0CB94578}"/>
            </a:ext>
          </a:extLst>
        </xdr:cNvPr>
        <xdr:cNvCxnSpPr/>
      </xdr:nvCxnSpPr>
      <xdr:spPr>
        <a:xfrm flipV="1">
          <a:off x="2359964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309687</xdr:colOff>
      <xdr:row>13</xdr:row>
      <xdr:rowOff>20845</xdr:rowOff>
    </xdr:from>
    <xdr:to>
      <xdr:col>4</xdr:col>
      <xdr:colOff>309687</xdr:colOff>
      <xdr:row>13</xdr:row>
      <xdr:rowOff>147845</xdr:rowOff>
    </xdr:to>
    <xdr:cxnSp macro="">
      <xdr:nvCxnSpPr>
        <xdr:cNvPr id="13943" name="line02">
          <a:extLst>
            <a:ext uri="{FF2B5EF4-FFF2-40B4-BE49-F238E27FC236}">
              <a16:creationId xmlns:a16="http://schemas.microsoft.com/office/drawing/2014/main" id="{299F6CA8-AE9B-44AD-B7FA-C04D4B1A12C8}"/>
            </a:ext>
          </a:extLst>
        </xdr:cNvPr>
        <xdr:cNvCxnSpPr/>
      </xdr:nvCxnSpPr>
      <xdr:spPr>
        <a:xfrm flipV="1">
          <a:off x="2405187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13</xdr:row>
      <xdr:rowOff>20845</xdr:rowOff>
    </xdr:from>
    <xdr:to>
      <xdr:col>4</xdr:col>
      <xdr:colOff>354910</xdr:colOff>
      <xdr:row>13</xdr:row>
      <xdr:rowOff>147845</xdr:rowOff>
    </xdr:to>
    <xdr:cxnSp macro="">
      <xdr:nvCxnSpPr>
        <xdr:cNvPr id="13944" name="line02">
          <a:extLst>
            <a:ext uri="{FF2B5EF4-FFF2-40B4-BE49-F238E27FC236}">
              <a16:creationId xmlns:a16="http://schemas.microsoft.com/office/drawing/2014/main" id="{05071F7B-CFB8-4A59-A987-D72C211B4032}"/>
            </a:ext>
          </a:extLst>
        </xdr:cNvPr>
        <xdr:cNvCxnSpPr/>
      </xdr:nvCxnSpPr>
      <xdr:spPr>
        <a:xfrm flipV="1">
          <a:off x="2450410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15</xdr:row>
      <xdr:rowOff>73025</xdr:rowOff>
    </xdr:from>
    <xdr:to>
      <xdr:col>3</xdr:col>
      <xdr:colOff>257589</xdr:colOff>
      <xdr:row>16</xdr:row>
      <xdr:rowOff>0</xdr:rowOff>
    </xdr:to>
    <xdr:cxnSp macro="">
      <xdr:nvCxnSpPr>
        <xdr:cNvPr id="13945" name="line02">
          <a:extLst>
            <a:ext uri="{FF2B5EF4-FFF2-40B4-BE49-F238E27FC236}">
              <a16:creationId xmlns:a16="http://schemas.microsoft.com/office/drawing/2014/main" id="{EFEDFD66-A92B-4E28-84B6-75F40FAB2818}"/>
            </a:ext>
          </a:extLst>
        </xdr:cNvPr>
        <xdr:cNvCxnSpPr/>
      </xdr:nvCxnSpPr>
      <xdr:spPr>
        <a:xfrm flipV="1">
          <a:off x="1772064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348035</xdr:colOff>
      <xdr:row>15</xdr:row>
      <xdr:rowOff>73025</xdr:rowOff>
    </xdr:from>
    <xdr:to>
      <xdr:col>3</xdr:col>
      <xdr:colOff>348035</xdr:colOff>
      <xdr:row>16</xdr:row>
      <xdr:rowOff>0</xdr:rowOff>
    </xdr:to>
    <xdr:cxnSp macro="">
      <xdr:nvCxnSpPr>
        <xdr:cNvPr id="13946" name="line02">
          <a:extLst>
            <a:ext uri="{FF2B5EF4-FFF2-40B4-BE49-F238E27FC236}">
              <a16:creationId xmlns:a16="http://schemas.microsoft.com/office/drawing/2014/main" id="{FA5F39E1-D6CB-48D1-8FED-33DAA0884202}"/>
            </a:ext>
          </a:extLst>
        </xdr:cNvPr>
        <xdr:cNvCxnSpPr/>
      </xdr:nvCxnSpPr>
      <xdr:spPr>
        <a:xfrm flipV="1">
          <a:off x="1862510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438481</xdr:colOff>
      <xdr:row>15</xdr:row>
      <xdr:rowOff>73025</xdr:rowOff>
    </xdr:from>
    <xdr:to>
      <xdr:col>3</xdr:col>
      <xdr:colOff>438481</xdr:colOff>
      <xdr:row>16</xdr:row>
      <xdr:rowOff>0</xdr:rowOff>
    </xdr:to>
    <xdr:cxnSp macro="">
      <xdr:nvCxnSpPr>
        <xdr:cNvPr id="13947" name="line02">
          <a:extLst>
            <a:ext uri="{FF2B5EF4-FFF2-40B4-BE49-F238E27FC236}">
              <a16:creationId xmlns:a16="http://schemas.microsoft.com/office/drawing/2014/main" id="{4FACC0C4-6B0B-485F-9763-DC89435B5070}"/>
            </a:ext>
          </a:extLst>
        </xdr:cNvPr>
        <xdr:cNvCxnSpPr/>
      </xdr:nvCxnSpPr>
      <xdr:spPr>
        <a:xfrm flipV="1">
          <a:off x="1952956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528927</xdr:colOff>
      <xdr:row>15</xdr:row>
      <xdr:rowOff>73025</xdr:rowOff>
    </xdr:from>
    <xdr:to>
      <xdr:col>3</xdr:col>
      <xdr:colOff>528927</xdr:colOff>
      <xdr:row>16</xdr:row>
      <xdr:rowOff>0</xdr:rowOff>
    </xdr:to>
    <xdr:cxnSp macro="">
      <xdr:nvCxnSpPr>
        <xdr:cNvPr id="13948" name="line02">
          <a:extLst>
            <a:ext uri="{FF2B5EF4-FFF2-40B4-BE49-F238E27FC236}">
              <a16:creationId xmlns:a16="http://schemas.microsoft.com/office/drawing/2014/main" id="{C80D07E2-9C8A-45E2-A5CF-AF9283CC61F7}"/>
            </a:ext>
          </a:extLst>
        </xdr:cNvPr>
        <xdr:cNvCxnSpPr/>
      </xdr:nvCxnSpPr>
      <xdr:spPr>
        <a:xfrm flipV="1">
          <a:off x="2043402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38348</xdr:colOff>
      <xdr:row>15</xdr:row>
      <xdr:rowOff>73025</xdr:rowOff>
    </xdr:from>
    <xdr:to>
      <xdr:col>4</xdr:col>
      <xdr:colOff>38348</xdr:colOff>
      <xdr:row>16</xdr:row>
      <xdr:rowOff>0</xdr:rowOff>
    </xdr:to>
    <xdr:cxnSp macro="">
      <xdr:nvCxnSpPr>
        <xdr:cNvPr id="13949" name="line02">
          <a:extLst>
            <a:ext uri="{FF2B5EF4-FFF2-40B4-BE49-F238E27FC236}">
              <a16:creationId xmlns:a16="http://schemas.microsoft.com/office/drawing/2014/main" id="{0841BB7E-DD5D-4D06-AB73-FC06A04E9240}"/>
            </a:ext>
          </a:extLst>
        </xdr:cNvPr>
        <xdr:cNvCxnSpPr/>
      </xdr:nvCxnSpPr>
      <xdr:spPr>
        <a:xfrm flipV="1">
          <a:off x="2133848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128795</xdr:colOff>
      <xdr:row>15</xdr:row>
      <xdr:rowOff>73025</xdr:rowOff>
    </xdr:from>
    <xdr:to>
      <xdr:col>4</xdr:col>
      <xdr:colOff>128795</xdr:colOff>
      <xdr:row>16</xdr:row>
      <xdr:rowOff>0</xdr:rowOff>
    </xdr:to>
    <xdr:cxnSp macro="">
      <xdr:nvCxnSpPr>
        <xdr:cNvPr id="13950" name="line02">
          <a:extLst>
            <a:ext uri="{FF2B5EF4-FFF2-40B4-BE49-F238E27FC236}">
              <a16:creationId xmlns:a16="http://schemas.microsoft.com/office/drawing/2014/main" id="{4903D6A7-E584-4A70-8323-61E61029FE0D}"/>
            </a:ext>
          </a:extLst>
        </xdr:cNvPr>
        <xdr:cNvCxnSpPr/>
      </xdr:nvCxnSpPr>
      <xdr:spPr>
        <a:xfrm flipV="1">
          <a:off x="2224295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219241</xdr:colOff>
      <xdr:row>15</xdr:row>
      <xdr:rowOff>73025</xdr:rowOff>
    </xdr:from>
    <xdr:to>
      <xdr:col>4</xdr:col>
      <xdr:colOff>219241</xdr:colOff>
      <xdr:row>16</xdr:row>
      <xdr:rowOff>0</xdr:rowOff>
    </xdr:to>
    <xdr:cxnSp macro="">
      <xdr:nvCxnSpPr>
        <xdr:cNvPr id="13951" name="line02">
          <a:extLst>
            <a:ext uri="{FF2B5EF4-FFF2-40B4-BE49-F238E27FC236}">
              <a16:creationId xmlns:a16="http://schemas.microsoft.com/office/drawing/2014/main" id="{6E7341F7-F95F-4264-BD0F-B26CAF5280D7}"/>
            </a:ext>
          </a:extLst>
        </xdr:cNvPr>
        <xdr:cNvCxnSpPr/>
      </xdr:nvCxnSpPr>
      <xdr:spPr>
        <a:xfrm flipV="1">
          <a:off x="2314741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309687</xdr:colOff>
      <xdr:row>15</xdr:row>
      <xdr:rowOff>73025</xdr:rowOff>
    </xdr:from>
    <xdr:to>
      <xdr:col>4</xdr:col>
      <xdr:colOff>309687</xdr:colOff>
      <xdr:row>16</xdr:row>
      <xdr:rowOff>0</xdr:rowOff>
    </xdr:to>
    <xdr:cxnSp macro="">
      <xdr:nvCxnSpPr>
        <xdr:cNvPr id="13952" name="line02">
          <a:extLst>
            <a:ext uri="{FF2B5EF4-FFF2-40B4-BE49-F238E27FC236}">
              <a16:creationId xmlns:a16="http://schemas.microsoft.com/office/drawing/2014/main" id="{E09E7D26-67BE-4816-AE10-74E432F16B2D}"/>
            </a:ext>
          </a:extLst>
        </xdr:cNvPr>
        <xdr:cNvCxnSpPr/>
      </xdr:nvCxnSpPr>
      <xdr:spPr>
        <a:xfrm flipV="1">
          <a:off x="2405187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400133</xdr:colOff>
      <xdr:row>15</xdr:row>
      <xdr:rowOff>73025</xdr:rowOff>
    </xdr:from>
    <xdr:to>
      <xdr:col>4</xdr:col>
      <xdr:colOff>400133</xdr:colOff>
      <xdr:row>16</xdr:row>
      <xdr:rowOff>0</xdr:rowOff>
    </xdr:to>
    <xdr:cxnSp macro="">
      <xdr:nvCxnSpPr>
        <xdr:cNvPr id="13953" name="line02">
          <a:extLst>
            <a:ext uri="{FF2B5EF4-FFF2-40B4-BE49-F238E27FC236}">
              <a16:creationId xmlns:a16="http://schemas.microsoft.com/office/drawing/2014/main" id="{1A3A4E2D-D824-4B08-BDC8-251E7F23A2B0}"/>
            </a:ext>
          </a:extLst>
        </xdr:cNvPr>
        <xdr:cNvCxnSpPr/>
      </xdr:nvCxnSpPr>
      <xdr:spPr>
        <a:xfrm flipV="1">
          <a:off x="2495633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490579</xdr:colOff>
      <xdr:row>15</xdr:row>
      <xdr:rowOff>73025</xdr:rowOff>
    </xdr:from>
    <xdr:to>
      <xdr:col>4</xdr:col>
      <xdr:colOff>490579</xdr:colOff>
      <xdr:row>16</xdr:row>
      <xdr:rowOff>0</xdr:rowOff>
    </xdr:to>
    <xdr:cxnSp macro="">
      <xdr:nvCxnSpPr>
        <xdr:cNvPr id="13954" name="line02">
          <a:extLst>
            <a:ext uri="{FF2B5EF4-FFF2-40B4-BE49-F238E27FC236}">
              <a16:creationId xmlns:a16="http://schemas.microsoft.com/office/drawing/2014/main" id="{A6D3CBAA-7A13-4BD2-9DCE-DC29CDAA80F2}"/>
            </a:ext>
          </a:extLst>
        </xdr:cNvPr>
        <xdr:cNvCxnSpPr/>
      </xdr:nvCxnSpPr>
      <xdr:spPr>
        <a:xfrm flipV="1">
          <a:off x="2586079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15</xdr:row>
      <xdr:rowOff>73025</xdr:rowOff>
    </xdr:from>
    <xdr:to>
      <xdr:col>5</xdr:col>
      <xdr:colOff>0</xdr:colOff>
      <xdr:row>16</xdr:row>
      <xdr:rowOff>0</xdr:rowOff>
    </xdr:to>
    <xdr:cxnSp macro="">
      <xdr:nvCxnSpPr>
        <xdr:cNvPr id="13955" name="line02">
          <a:extLst>
            <a:ext uri="{FF2B5EF4-FFF2-40B4-BE49-F238E27FC236}">
              <a16:creationId xmlns:a16="http://schemas.microsoft.com/office/drawing/2014/main" id="{E2C7FFBF-1A7E-48AB-B933-954AA069B931}"/>
            </a:ext>
          </a:extLst>
        </xdr:cNvPr>
        <xdr:cNvCxnSpPr/>
      </xdr:nvCxnSpPr>
      <xdr:spPr>
        <a:xfrm flipV="1">
          <a:off x="2676525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16</xdr:row>
      <xdr:rowOff>0</xdr:rowOff>
    </xdr:to>
    <xdr:cxnSp macro="">
      <xdr:nvCxnSpPr>
        <xdr:cNvPr id="13956" name="line02">
          <a:extLst>
            <a:ext uri="{FF2B5EF4-FFF2-40B4-BE49-F238E27FC236}">
              <a16:creationId xmlns:a16="http://schemas.microsoft.com/office/drawing/2014/main" id="{96D270A7-8919-46FF-A4C9-E7FA85699A21}"/>
            </a:ext>
          </a:extLst>
        </xdr:cNvPr>
        <xdr:cNvCxnSpPr/>
      </xdr:nvCxnSpPr>
      <xdr:spPr>
        <a:xfrm flipV="1">
          <a:off x="3311525" y="600075"/>
          <a:ext cx="0" cy="26003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3</xdr:row>
      <xdr:rowOff>0</xdr:rowOff>
    </xdr:from>
    <xdr:to>
      <xdr:col>5</xdr:col>
      <xdr:colOff>317500</xdr:colOff>
      <xdr:row>16</xdr:row>
      <xdr:rowOff>0</xdr:rowOff>
    </xdr:to>
    <xdr:cxnSp macro="">
      <xdr:nvCxnSpPr>
        <xdr:cNvPr id="13957" name="line02">
          <a:extLst>
            <a:ext uri="{FF2B5EF4-FFF2-40B4-BE49-F238E27FC236}">
              <a16:creationId xmlns:a16="http://schemas.microsoft.com/office/drawing/2014/main" id="{1AD927B0-7D53-43D8-B38C-2001B86E994B}"/>
            </a:ext>
          </a:extLst>
        </xdr:cNvPr>
        <xdr:cNvCxnSpPr/>
      </xdr:nvCxnSpPr>
      <xdr:spPr>
        <a:xfrm flipV="1">
          <a:off x="2994025" y="600075"/>
          <a:ext cx="0" cy="26003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13</xdr:row>
      <xdr:rowOff>147845</xdr:rowOff>
    </xdr:from>
    <xdr:to>
      <xdr:col>5</xdr:col>
      <xdr:colOff>317500</xdr:colOff>
      <xdr:row>13</xdr:row>
      <xdr:rowOff>147845</xdr:rowOff>
    </xdr:to>
    <xdr:cxnSp macro="">
      <xdr:nvCxnSpPr>
        <xdr:cNvPr id="13958" name="line02">
          <a:extLst>
            <a:ext uri="{FF2B5EF4-FFF2-40B4-BE49-F238E27FC236}">
              <a16:creationId xmlns:a16="http://schemas.microsoft.com/office/drawing/2014/main" id="{4C18728E-7980-4125-A102-E85865F0A799}"/>
            </a:ext>
          </a:extLst>
        </xdr:cNvPr>
        <xdr:cNvCxnSpPr/>
      </xdr:nvCxnSpPr>
      <xdr:spPr>
        <a:xfrm>
          <a:off x="2740025" y="2748170"/>
          <a:ext cx="254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53975</xdr:colOff>
      <xdr:row>16</xdr:row>
      <xdr:rowOff>0</xdr:rowOff>
    </xdr:to>
    <xdr:cxnSp macro="">
      <xdr:nvCxnSpPr>
        <xdr:cNvPr id="13959" name="line02">
          <a:extLst>
            <a:ext uri="{FF2B5EF4-FFF2-40B4-BE49-F238E27FC236}">
              <a16:creationId xmlns:a16="http://schemas.microsoft.com/office/drawing/2014/main" id="{B451ECED-4BAB-496C-B857-7D14EC5355C0}"/>
            </a:ext>
          </a:extLst>
        </xdr:cNvPr>
        <xdr:cNvCxnSpPr/>
      </xdr:nvCxnSpPr>
      <xdr:spPr>
        <a:xfrm>
          <a:off x="2740025" y="3200400"/>
          <a:ext cx="571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17</xdr:row>
      <xdr:rowOff>66675</xdr:rowOff>
    </xdr:from>
    <xdr:to>
      <xdr:col>5</xdr:col>
      <xdr:colOff>0</xdr:colOff>
      <xdr:row>17</xdr:row>
      <xdr:rowOff>66675</xdr:rowOff>
    </xdr:to>
    <xdr:cxnSp macro="">
      <xdr:nvCxnSpPr>
        <xdr:cNvPr id="13960" name="line02">
          <a:extLst>
            <a:ext uri="{FF2B5EF4-FFF2-40B4-BE49-F238E27FC236}">
              <a16:creationId xmlns:a16="http://schemas.microsoft.com/office/drawing/2014/main" id="{C2275B83-360D-4D8A-B044-ACB4E12F9344}"/>
            </a:ext>
          </a:extLst>
        </xdr:cNvPr>
        <xdr:cNvCxnSpPr/>
      </xdr:nvCxnSpPr>
      <xdr:spPr>
        <a:xfrm>
          <a:off x="1772064" y="3467100"/>
          <a:ext cx="904461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16</xdr:row>
      <xdr:rowOff>38100</xdr:rowOff>
    </xdr:from>
    <xdr:to>
      <xdr:col>3</xdr:col>
      <xdr:colOff>257589</xdr:colOff>
      <xdr:row>17</xdr:row>
      <xdr:rowOff>79375</xdr:rowOff>
    </xdr:to>
    <xdr:cxnSp macro="">
      <xdr:nvCxnSpPr>
        <xdr:cNvPr id="13961" name="line02">
          <a:extLst>
            <a:ext uri="{FF2B5EF4-FFF2-40B4-BE49-F238E27FC236}">
              <a16:creationId xmlns:a16="http://schemas.microsoft.com/office/drawing/2014/main" id="{EB626BE4-959F-4AA6-B0E3-1E6E051202D1}"/>
            </a:ext>
          </a:extLst>
        </xdr:cNvPr>
        <xdr:cNvCxnSpPr/>
      </xdr:nvCxnSpPr>
      <xdr:spPr>
        <a:xfrm flipV="1">
          <a:off x="1772064" y="3238500"/>
          <a:ext cx="0" cy="2413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79375</xdr:rowOff>
    </xdr:to>
    <xdr:cxnSp macro="">
      <xdr:nvCxnSpPr>
        <xdr:cNvPr id="13962" name="line02">
          <a:extLst>
            <a:ext uri="{FF2B5EF4-FFF2-40B4-BE49-F238E27FC236}">
              <a16:creationId xmlns:a16="http://schemas.microsoft.com/office/drawing/2014/main" id="{73275FFD-DE9F-4540-B6B3-C39F6BA47818}"/>
            </a:ext>
          </a:extLst>
        </xdr:cNvPr>
        <xdr:cNvCxnSpPr/>
      </xdr:nvCxnSpPr>
      <xdr:spPr>
        <a:xfrm flipV="1">
          <a:off x="2676525" y="3238500"/>
          <a:ext cx="0" cy="2413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127000</xdr:colOff>
      <xdr:row>9</xdr:row>
      <xdr:rowOff>185945</xdr:rowOff>
    </xdr:from>
    <xdr:to>
      <xdr:col>5</xdr:col>
      <xdr:colOff>381000</xdr:colOff>
      <xdr:row>13</xdr:row>
      <xdr:rowOff>147845</xdr:rowOff>
    </xdr:to>
    <xdr:sp macro="" textlink="">
      <xdr:nvSpPr>
        <xdr:cNvPr id="13963" name="textboxDf">
          <a:extLst>
            <a:ext uri="{FF2B5EF4-FFF2-40B4-BE49-F238E27FC236}">
              <a16:creationId xmlns:a16="http://schemas.microsoft.com/office/drawing/2014/main" id="{FD81D1E3-5BB0-42D2-8885-14882569B200}"/>
            </a:ext>
          </a:extLst>
        </xdr:cNvPr>
        <xdr:cNvSpPr txBox="1"/>
      </xdr:nvSpPr>
      <xdr:spPr>
        <a:xfrm rot="16200000">
          <a:off x="2549525" y="224017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df=9500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254000</xdr:colOff>
      <xdr:row>9</xdr:row>
      <xdr:rowOff>130175</xdr:rowOff>
    </xdr:from>
    <xdr:to>
      <xdr:col>5</xdr:col>
      <xdr:colOff>508000</xdr:colOff>
      <xdr:row>16</xdr:row>
      <xdr:rowOff>0</xdr:rowOff>
    </xdr:to>
    <xdr:sp macro="" textlink="">
      <xdr:nvSpPr>
        <xdr:cNvPr id="13964" name="textboxDf">
          <a:extLst>
            <a:ext uri="{FF2B5EF4-FFF2-40B4-BE49-F238E27FC236}">
              <a16:creationId xmlns:a16="http://schemas.microsoft.com/office/drawing/2014/main" id="{64FE5A55-E30D-4A6D-B6BC-F7BFA45A3772}"/>
            </a:ext>
          </a:extLst>
        </xdr:cNvPr>
        <xdr:cNvSpPr txBox="1"/>
      </xdr:nvSpPr>
      <xdr:spPr>
        <a:xfrm rot="16200000">
          <a:off x="2422525" y="2438400"/>
          <a:ext cx="127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h-df=2000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412750</xdr:colOff>
      <xdr:row>5</xdr:row>
      <xdr:rowOff>9525</xdr:rowOff>
    </xdr:from>
    <xdr:to>
      <xdr:col>6</xdr:col>
      <xdr:colOff>85725</xdr:colOff>
      <xdr:row>9</xdr:row>
      <xdr:rowOff>34925</xdr:rowOff>
    </xdr:to>
    <xdr:sp macro="" textlink="">
      <xdr:nvSpPr>
        <xdr:cNvPr id="13965" name="textboxB">
          <a:extLst>
            <a:ext uri="{FF2B5EF4-FFF2-40B4-BE49-F238E27FC236}">
              <a16:creationId xmlns:a16="http://schemas.microsoft.com/office/drawing/2014/main" id="{E5B32B70-A6E2-4A93-A003-15DED91078FD}"/>
            </a:ext>
          </a:extLst>
        </xdr:cNvPr>
        <xdr:cNvSpPr txBox="1"/>
      </xdr:nvSpPr>
      <xdr:spPr>
        <a:xfrm rot="16200000">
          <a:off x="2803525" y="1295400"/>
          <a:ext cx="8255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H=11500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228600</xdr:colOff>
      <xdr:row>16</xdr:row>
      <xdr:rowOff>63500</xdr:rowOff>
    </xdr:from>
    <xdr:to>
      <xdr:col>5</xdr:col>
      <xdr:colOff>390525</xdr:colOff>
      <xdr:row>17</xdr:row>
      <xdr:rowOff>117475</xdr:rowOff>
    </xdr:to>
    <xdr:sp macro="" textlink="">
      <xdr:nvSpPr>
        <xdr:cNvPr id="13966" name="textboxl">
          <a:extLst>
            <a:ext uri="{FF2B5EF4-FFF2-40B4-BE49-F238E27FC236}">
              <a16:creationId xmlns:a16="http://schemas.microsoft.com/office/drawing/2014/main" id="{27630D9A-0D64-4D85-8710-BB0EC6DF48EC}"/>
            </a:ext>
          </a:extLst>
        </xdr:cNvPr>
        <xdr:cNvSpPr txBox="1"/>
      </xdr:nvSpPr>
      <xdr:spPr>
        <a:xfrm>
          <a:off x="1162050" y="326390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L+H-Df=4000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455820</xdr:colOff>
      <xdr:row>11</xdr:row>
      <xdr:rowOff>166895</xdr:rowOff>
    </xdr:from>
    <xdr:to>
      <xdr:col>5</xdr:col>
      <xdr:colOff>563770</xdr:colOff>
      <xdr:row>13</xdr:row>
      <xdr:rowOff>20845</xdr:rowOff>
    </xdr:to>
    <xdr:sp macro="" textlink="">
      <xdr:nvSpPr>
        <xdr:cNvPr id="13967" name="textboxl">
          <a:extLst>
            <a:ext uri="{FF2B5EF4-FFF2-40B4-BE49-F238E27FC236}">
              <a16:creationId xmlns:a16="http://schemas.microsoft.com/office/drawing/2014/main" id="{69E8F1AF-AB42-49F6-8152-F7807C7FD448}"/>
            </a:ext>
          </a:extLst>
        </xdr:cNvPr>
        <xdr:cNvSpPr txBox="1"/>
      </xdr:nvSpPr>
      <xdr:spPr>
        <a:xfrm>
          <a:off x="1970295" y="2367170"/>
          <a:ext cx="127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L=2000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355600</xdr:colOff>
      <xdr:row>17</xdr:row>
      <xdr:rowOff>15875</xdr:rowOff>
    </xdr:from>
    <xdr:to>
      <xdr:col>5</xdr:col>
      <xdr:colOff>517525</xdr:colOff>
      <xdr:row>18</xdr:row>
      <xdr:rowOff>69850</xdr:rowOff>
    </xdr:to>
    <xdr:sp macro="" textlink="">
      <xdr:nvSpPr>
        <xdr:cNvPr id="13968" name="textboxl">
          <a:extLst>
            <a:ext uri="{FF2B5EF4-FFF2-40B4-BE49-F238E27FC236}">
              <a16:creationId xmlns:a16="http://schemas.microsoft.com/office/drawing/2014/main" id="{E453DCB2-C3C6-42F6-9E5A-CBEA683BB52D}"/>
            </a:ext>
          </a:extLst>
        </xdr:cNvPr>
        <xdr:cNvSpPr txBox="1"/>
      </xdr:nvSpPr>
      <xdr:spPr>
        <a:xfrm>
          <a:off x="1289050" y="341630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B+H-Df=3000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455820</xdr:colOff>
      <xdr:row>13</xdr:row>
      <xdr:rowOff>147845</xdr:rowOff>
    </xdr:from>
    <xdr:to>
      <xdr:col>5</xdr:col>
      <xdr:colOff>563770</xdr:colOff>
      <xdr:row>15</xdr:row>
      <xdr:rowOff>1795</xdr:rowOff>
    </xdr:to>
    <xdr:sp macro="" textlink="">
      <xdr:nvSpPr>
        <xdr:cNvPr id="13969" name="textboxl">
          <a:extLst>
            <a:ext uri="{FF2B5EF4-FFF2-40B4-BE49-F238E27FC236}">
              <a16:creationId xmlns:a16="http://schemas.microsoft.com/office/drawing/2014/main" id="{17AF27E8-E0AE-47E9-B78F-DE257C9FC6B1}"/>
            </a:ext>
          </a:extLst>
        </xdr:cNvPr>
        <xdr:cNvSpPr txBox="1"/>
      </xdr:nvSpPr>
      <xdr:spPr>
        <a:xfrm>
          <a:off x="1970295" y="2748170"/>
          <a:ext cx="127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B=1000</a:t>
          </a:r>
          <a:endParaRPr kumimoji="1" lang="ja-JP" altLang="en-US" sz="1100"/>
        </a:p>
      </xdr:txBody>
    </xdr:sp>
    <xdr:clientData/>
  </xdr:twoCellAnchor>
  <xdr:twoCellAnchor>
    <xdr:from>
      <xdr:col>4</xdr:col>
      <xdr:colOff>467967</xdr:colOff>
      <xdr:row>13</xdr:row>
      <xdr:rowOff>147845</xdr:rowOff>
    </xdr:from>
    <xdr:to>
      <xdr:col>5</xdr:col>
      <xdr:colOff>0</xdr:colOff>
      <xdr:row>13</xdr:row>
      <xdr:rowOff>147845</xdr:rowOff>
    </xdr:to>
    <xdr:cxnSp macro="">
      <xdr:nvCxnSpPr>
        <xdr:cNvPr id="13970" name="line02">
          <a:extLst>
            <a:ext uri="{FF2B5EF4-FFF2-40B4-BE49-F238E27FC236}">
              <a16:creationId xmlns:a16="http://schemas.microsoft.com/office/drawing/2014/main" id="{B4E3DB73-92C0-4377-8F73-86B65462782F}"/>
            </a:ext>
          </a:extLst>
        </xdr:cNvPr>
        <xdr:cNvCxnSpPr/>
      </xdr:nvCxnSpPr>
      <xdr:spPr>
        <a:xfrm flipH="1">
          <a:off x="2563467" y="2748170"/>
          <a:ext cx="113058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13</xdr:row>
      <xdr:rowOff>147845</xdr:rowOff>
    </xdr:from>
    <xdr:to>
      <xdr:col>5</xdr:col>
      <xdr:colOff>0</xdr:colOff>
      <xdr:row>14</xdr:row>
      <xdr:rowOff>173935</xdr:rowOff>
    </xdr:to>
    <xdr:cxnSp macro="">
      <xdr:nvCxnSpPr>
        <xdr:cNvPr id="13971" name="line02">
          <a:extLst>
            <a:ext uri="{FF2B5EF4-FFF2-40B4-BE49-F238E27FC236}">
              <a16:creationId xmlns:a16="http://schemas.microsoft.com/office/drawing/2014/main" id="{AA6E7810-3AE3-4F5D-8740-0C4AB9A3872E}"/>
            </a:ext>
          </a:extLst>
        </xdr:cNvPr>
        <xdr:cNvCxnSpPr/>
      </xdr:nvCxnSpPr>
      <xdr:spPr>
        <a:xfrm>
          <a:off x="2676525" y="2748170"/>
          <a:ext cx="0" cy="22611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467967</xdr:colOff>
      <xdr:row>13</xdr:row>
      <xdr:rowOff>147845</xdr:rowOff>
    </xdr:from>
    <xdr:to>
      <xdr:col>5</xdr:col>
      <xdr:colOff>0</xdr:colOff>
      <xdr:row>14</xdr:row>
      <xdr:rowOff>173935</xdr:rowOff>
    </xdr:to>
    <xdr:cxnSp macro="">
      <xdr:nvCxnSpPr>
        <xdr:cNvPr id="13972" name="line02">
          <a:extLst>
            <a:ext uri="{FF2B5EF4-FFF2-40B4-BE49-F238E27FC236}">
              <a16:creationId xmlns:a16="http://schemas.microsoft.com/office/drawing/2014/main" id="{5FA1F4BA-210F-4F81-87E0-641480295618}"/>
            </a:ext>
          </a:extLst>
        </xdr:cNvPr>
        <xdr:cNvCxnSpPr/>
      </xdr:nvCxnSpPr>
      <xdr:spPr>
        <a:xfrm flipH="1" flipV="1">
          <a:off x="2563467" y="2748170"/>
          <a:ext cx="113058" cy="22611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517525</xdr:colOff>
      <xdr:row>14</xdr:row>
      <xdr:rowOff>11320</xdr:rowOff>
    </xdr:from>
    <xdr:to>
      <xdr:col>5</xdr:col>
      <xdr:colOff>190500</xdr:colOff>
      <xdr:row>15</xdr:row>
      <xdr:rowOff>65295</xdr:rowOff>
    </xdr:to>
    <xdr:sp macro="" textlink="">
      <xdr:nvSpPr>
        <xdr:cNvPr id="13973" name="textbox2">
          <a:extLst>
            <a:ext uri="{FF2B5EF4-FFF2-40B4-BE49-F238E27FC236}">
              <a16:creationId xmlns:a16="http://schemas.microsoft.com/office/drawing/2014/main" id="{DB66798C-DF5E-47E0-B01B-2152900AE81E}"/>
            </a:ext>
          </a:extLst>
        </xdr:cNvPr>
        <xdr:cNvSpPr txBox="1"/>
      </xdr:nvSpPr>
      <xdr:spPr>
        <a:xfrm>
          <a:off x="2613025" y="2811670"/>
          <a:ext cx="25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4</xdr:col>
      <xdr:colOff>390525</xdr:colOff>
      <xdr:row>12</xdr:row>
      <xdr:rowOff>157370</xdr:rowOff>
    </xdr:from>
    <xdr:to>
      <xdr:col>5</xdr:col>
      <xdr:colOff>63500</xdr:colOff>
      <xdr:row>14</xdr:row>
      <xdr:rowOff>11320</xdr:rowOff>
    </xdr:to>
    <xdr:sp macro="" textlink="">
      <xdr:nvSpPr>
        <xdr:cNvPr id="13974" name="textbox2">
          <a:extLst>
            <a:ext uri="{FF2B5EF4-FFF2-40B4-BE49-F238E27FC236}">
              <a16:creationId xmlns:a16="http://schemas.microsoft.com/office/drawing/2014/main" id="{C7C7F690-4854-43FA-B332-6DD298096716}"/>
            </a:ext>
          </a:extLst>
        </xdr:cNvPr>
        <xdr:cNvSpPr txBox="1"/>
      </xdr:nvSpPr>
      <xdr:spPr>
        <a:xfrm>
          <a:off x="2486025" y="2557670"/>
          <a:ext cx="25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113058</xdr:colOff>
      <xdr:row>16</xdr:row>
      <xdr:rowOff>0</xdr:rowOff>
    </xdr:to>
    <xdr:cxnSp macro="">
      <xdr:nvCxnSpPr>
        <xdr:cNvPr id="13975" name="line02">
          <a:extLst>
            <a:ext uri="{FF2B5EF4-FFF2-40B4-BE49-F238E27FC236}">
              <a16:creationId xmlns:a16="http://schemas.microsoft.com/office/drawing/2014/main" id="{EA6B4D28-BF23-4BA5-8226-B6E57F50C24F}"/>
            </a:ext>
          </a:extLst>
        </xdr:cNvPr>
        <xdr:cNvCxnSpPr/>
      </xdr:nvCxnSpPr>
      <xdr:spPr>
        <a:xfrm>
          <a:off x="352425" y="3200400"/>
          <a:ext cx="113058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14</xdr:row>
      <xdr:rowOff>184150</xdr:rowOff>
    </xdr:from>
    <xdr:to>
      <xdr:col>2</xdr:col>
      <xdr:colOff>53975</xdr:colOff>
      <xdr:row>16</xdr:row>
      <xdr:rowOff>38100</xdr:rowOff>
    </xdr:to>
    <xdr:sp macro="" textlink="">
      <xdr:nvSpPr>
        <xdr:cNvPr id="13976" name="textbox01">
          <a:extLst>
            <a:ext uri="{FF2B5EF4-FFF2-40B4-BE49-F238E27FC236}">
              <a16:creationId xmlns:a16="http://schemas.microsoft.com/office/drawing/2014/main" id="{786F6D95-69BD-49AD-BFE2-54AC8A470A97}"/>
            </a:ext>
          </a:extLst>
        </xdr:cNvPr>
        <xdr:cNvSpPr txBox="1"/>
      </xdr:nvSpPr>
      <xdr:spPr>
        <a:xfrm>
          <a:off x="352425" y="29845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▽WL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76200</xdr:colOff>
      <xdr:row>3</xdr:row>
      <xdr:rowOff>0</xdr:rowOff>
    </xdr:to>
    <xdr:cxnSp macro="">
      <xdr:nvCxnSpPr>
        <xdr:cNvPr id="55" name="line01">
          <a:extLst>
            <a:ext uri="{FF2B5EF4-FFF2-40B4-BE49-F238E27FC236}">
              <a16:creationId xmlns:a16="http://schemas.microsoft.com/office/drawing/2014/main" id="{BD8AEA74-9AB6-42C6-80BA-A1D210FD42BA}"/>
            </a:ext>
          </a:extLst>
        </xdr:cNvPr>
        <xdr:cNvCxnSpPr/>
      </xdr:nvCxnSpPr>
      <xdr:spPr>
        <a:xfrm>
          <a:off x="685800" y="714375"/>
          <a:ext cx="35052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22225</xdr:rowOff>
    </xdr:from>
    <xdr:to>
      <xdr:col>1</xdr:col>
      <xdr:colOff>635000</xdr:colOff>
      <xdr:row>3</xdr:row>
      <xdr:rowOff>38100</xdr:rowOff>
    </xdr:to>
    <xdr:sp macro="" textlink="">
      <xdr:nvSpPr>
        <xdr:cNvPr id="56" name="textbox01">
          <a:extLst>
            <a:ext uri="{FF2B5EF4-FFF2-40B4-BE49-F238E27FC236}">
              <a16:creationId xmlns:a16="http://schemas.microsoft.com/office/drawing/2014/main" id="{930AFD84-B5E1-4287-ABF7-10B321ACF6FA}"/>
            </a:ext>
          </a:extLst>
        </xdr:cNvPr>
        <xdr:cNvSpPr txBox="1"/>
      </xdr:nvSpPr>
      <xdr:spPr>
        <a:xfrm>
          <a:off x="685800" y="4984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105208</xdr:colOff>
      <xdr:row>2</xdr:row>
      <xdr:rowOff>111125</xdr:rowOff>
    </xdr:from>
    <xdr:to>
      <xdr:col>3</xdr:col>
      <xdr:colOff>105208</xdr:colOff>
      <xdr:row>16</xdr:row>
      <xdr:rowOff>190500</xdr:rowOff>
    </xdr:to>
    <xdr:cxnSp macro="">
      <xdr:nvCxnSpPr>
        <xdr:cNvPr id="57" name="line01">
          <a:extLst>
            <a:ext uri="{FF2B5EF4-FFF2-40B4-BE49-F238E27FC236}">
              <a16:creationId xmlns:a16="http://schemas.microsoft.com/office/drawing/2014/main" id="{0444DE44-320D-4F31-9ED4-5EBBB2EB944F}"/>
            </a:ext>
          </a:extLst>
        </xdr:cNvPr>
        <xdr:cNvCxnSpPr/>
      </xdr:nvCxnSpPr>
      <xdr:spPr>
        <a:xfrm flipV="1">
          <a:off x="2162608" y="587375"/>
          <a:ext cx="0" cy="34131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105208</xdr:colOff>
      <xdr:row>2</xdr:row>
      <xdr:rowOff>111125</xdr:rowOff>
    </xdr:from>
    <xdr:to>
      <xdr:col>3</xdr:col>
      <xdr:colOff>105208</xdr:colOff>
      <xdr:row>16</xdr:row>
      <xdr:rowOff>190500</xdr:rowOff>
    </xdr:to>
    <xdr:cxnSp macro="">
      <xdr:nvCxnSpPr>
        <xdr:cNvPr id="58" name="line01">
          <a:extLst>
            <a:ext uri="{FF2B5EF4-FFF2-40B4-BE49-F238E27FC236}">
              <a16:creationId xmlns:a16="http://schemas.microsoft.com/office/drawing/2014/main" id="{B65D4384-E780-4229-AC7B-06AF15279B61}"/>
            </a:ext>
          </a:extLst>
        </xdr:cNvPr>
        <xdr:cNvCxnSpPr/>
      </xdr:nvCxnSpPr>
      <xdr:spPr>
        <a:xfrm flipV="1">
          <a:off x="2162608" y="587375"/>
          <a:ext cx="0" cy="34131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642216</xdr:colOff>
      <xdr:row>12</xdr:row>
      <xdr:rowOff>108239</xdr:rowOff>
    </xdr:from>
    <xdr:to>
      <xdr:col>5</xdr:col>
      <xdr:colOff>342900</xdr:colOff>
      <xdr:row>12</xdr:row>
      <xdr:rowOff>108239</xdr:rowOff>
    </xdr:to>
    <xdr:cxnSp macro="">
      <xdr:nvCxnSpPr>
        <xdr:cNvPr id="59" name="line01">
          <a:extLst>
            <a:ext uri="{FF2B5EF4-FFF2-40B4-BE49-F238E27FC236}">
              <a16:creationId xmlns:a16="http://schemas.microsoft.com/office/drawing/2014/main" id="{9FD17064-ABA8-40DB-B928-8DE4DC64E580}"/>
            </a:ext>
          </a:extLst>
        </xdr:cNvPr>
        <xdr:cNvCxnSpPr/>
      </xdr:nvCxnSpPr>
      <xdr:spPr>
        <a:xfrm>
          <a:off x="642216" y="2965739"/>
          <a:ext cx="31296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642216</xdr:colOff>
      <xdr:row>12</xdr:row>
      <xdr:rowOff>108239</xdr:rowOff>
    </xdr:from>
    <xdr:to>
      <xdr:col>5</xdr:col>
      <xdr:colOff>342900</xdr:colOff>
      <xdr:row>12</xdr:row>
      <xdr:rowOff>108239</xdr:rowOff>
    </xdr:to>
    <xdr:cxnSp macro="">
      <xdr:nvCxnSpPr>
        <xdr:cNvPr id="60" name="line01">
          <a:extLst>
            <a:ext uri="{FF2B5EF4-FFF2-40B4-BE49-F238E27FC236}">
              <a16:creationId xmlns:a16="http://schemas.microsoft.com/office/drawing/2014/main" id="{CB451B9F-7F6B-41A1-AA21-C8D823205DB5}"/>
            </a:ext>
          </a:extLst>
        </xdr:cNvPr>
        <xdr:cNvCxnSpPr/>
      </xdr:nvCxnSpPr>
      <xdr:spPr>
        <a:xfrm>
          <a:off x="642216" y="2965739"/>
          <a:ext cx="31296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61" name="line02">
          <a:extLst>
            <a:ext uri="{FF2B5EF4-FFF2-40B4-BE49-F238E27FC236}">
              <a16:creationId xmlns:a16="http://schemas.microsoft.com/office/drawing/2014/main" id="{F1F7BE0C-05F1-4DEA-B19B-446E17C2F98B}"/>
            </a:ext>
          </a:extLst>
        </xdr:cNvPr>
        <xdr:cNvCxnSpPr/>
      </xdr:nvCxnSpPr>
      <xdr:spPr>
        <a:xfrm>
          <a:off x="896216" y="3810000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8</xdr:row>
      <xdr:rowOff>216477</xdr:rowOff>
    </xdr:from>
    <xdr:to>
      <xdr:col>5</xdr:col>
      <xdr:colOff>0</xdr:colOff>
      <xdr:row>8</xdr:row>
      <xdr:rowOff>216477</xdr:rowOff>
    </xdr:to>
    <xdr:cxnSp macro="">
      <xdr:nvCxnSpPr>
        <xdr:cNvPr id="62" name="line02">
          <a:extLst>
            <a:ext uri="{FF2B5EF4-FFF2-40B4-BE49-F238E27FC236}">
              <a16:creationId xmlns:a16="http://schemas.microsoft.com/office/drawing/2014/main" id="{9EDCB2C1-1EFD-4321-9176-BCB9D08F6F60}"/>
            </a:ext>
          </a:extLst>
        </xdr:cNvPr>
        <xdr:cNvCxnSpPr/>
      </xdr:nvCxnSpPr>
      <xdr:spPr>
        <a:xfrm>
          <a:off x="896216" y="2121477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8</xdr:row>
      <xdr:rowOff>216477</xdr:rowOff>
    </xdr:from>
    <xdr:to>
      <xdr:col>1</xdr:col>
      <xdr:colOff>210416</xdr:colOff>
      <xdr:row>16</xdr:row>
      <xdr:rowOff>0</xdr:rowOff>
    </xdr:to>
    <xdr:cxnSp macro="">
      <xdr:nvCxnSpPr>
        <xdr:cNvPr id="63" name="line02">
          <a:extLst>
            <a:ext uri="{FF2B5EF4-FFF2-40B4-BE49-F238E27FC236}">
              <a16:creationId xmlns:a16="http://schemas.microsoft.com/office/drawing/2014/main" id="{B72563DD-036B-4EAE-AA90-22BD7AE2AB6E}"/>
            </a:ext>
          </a:extLst>
        </xdr:cNvPr>
        <xdr:cNvCxnSpPr/>
      </xdr:nvCxnSpPr>
      <xdr:spPr>
        <a:xfrm flipV="1">
          <a:off x="896216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216477</xdr:rowOff>
    </xdr:from>
    <xdr:to>
      <xdr:col>5</xdr:col>
      <xdr:colOff>0</xdr:colOff>
      <xdr:row>16</xdr:row>
      <xdr:rowOff>0</xdr:rowOff>
    </xdr:to>
    <xdr:cxnSp macro="">
      <xdr:nvCxnSpPr>
        <xdr:cNvPr id="64" name="line02">
          <a:extLst>
            <a:ext uri="{FF2B5EF4-FFF2-40B4-BE49-F238E27FC236}">
              <a16:creationId xmlns:a16="http://schemas.microsoft.com/office/drawing/2014/main" id="{FE7B7A3F-F7A4-4EBC-9CC1-5AE6490766B3}"/>
            </a:ext>
          </a:extLst>
        </xdr:cNvPr>
        <xdr:cNvCxnSpPr/>
      </xdr:nvCxnSpPr>
      <xdr:spPr>
        <a:xfrm flipV="1">
          <a:off x="3429000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7</xdr:row>
      <xdr:rowOff>32472</xdr:rowOff>
    </xdr:from>
    <xdr:to>
      <xdr:col>5</xdr:col>
      <xdr:colOff>0</xdr:colOff>
      <xdr:row>7</xdr:row>
      <xdr:rowOff>32472</xdr:rowOff>
    </xdr:to>
    <xdr:cxnSp macro="">
      <xdr:nvCxnSpPr>
        <xdr:cNvPr id="65" name="line02">
          <a:extLst>
            <a:ext uri="{FF2B5EF4-FFF2-40B4-BE49-F238E27FC236}">
              <a16:creationId xmlns:a16="http://schemas.microsoft.com/office/drawing/2014/main" id="{7EE4D8CA-1676-42D3-9342-BDFB40065C39}"/>
            </a:ext>
          </a:extLst>
        </xdr:cNvPr>
        <xdr:cNvCxnSpPr/>
      </xdr:nvCxnSpPr>
      <xdr:spPr>
        <a:xfrm>
          <a:off x="896216" y="1699347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5</xdr:row>
      <xdr:rowOff>86591</xdr:rowOff>
    </xdr:from>
    <xdr:to>
      <xdr:col>5</xdr:col>
      <xdr:colOff>0</xdr:colOff>
      <xdr:row>5</xdr:row>
      <xdr:rowOff>86591</xdr:rowOff>
    </xdr:to>
    <xdr:cxnSp macro="">
      <xdr:nvCxnSpPr>
        <xdr:cNvPr id="66" name="line02">
          <a:extLst>
            <a:ext uri="{FF2B5EF4-FFF2-40B4-BE49-F238E27FC236}">
              <a16:creationId xmlns:a16="http://schemas.microsoft.com/office/drawing/2014/main" id="{AC7679DD-C2F2-4E80-8FF3-EE845E49180D}"/>
            </a:ext>
          </a:extLst>
        </xdr:cNvPr>
        <xdr:cNvCxnSpPr/>
      </xdr:nvCxnSpPr>
      <xdr:spPr>
        <a:xfrm>
          <a:off x="896216" y="1277216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5</xdr:row>
      <xdr:rowOff>86591</xdr:rowOff>
    </xdr:from>
    <xdr:to>
      <xdr:col>1</xdr:col>
      <xdr:colOff>210416</xdr:colOff>
      <xdr:row>7</xdr:row>
      <xdr:rowOff>32472</xdr:rowOff>
    </xdr:to>
    <xdr:cxnSp macro="">
      <xdr:nvCxnSpPr>
        <xdr:cNvPr id="67" name="line02">
          <a:extLst>
            <a:ext uri="{FF2B5EF4-FFF2-40B4-BE49-F238E27FC236}">
              <a16:creationId xmlns:a16="http://schemas.microsoft.com/office/drawing/2014/main" id="{0351EF4E-43B5-4EB8-B305-E8F7F008C929}"/>
            </a:ext>
          </a:extLst>
        </xdr:cNvPr>
        <xdr:cNvCxnSpPr/>
      </xdr:nvCxnSpPr>
      <xdr:spPr>
        <a:xfrm flipV="1">
          <a:off x="896216" y="1277216"/>
          <a:ext cx="0" cy="42213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86591</xdr:rowOff>
    </xdr:from>
    <xdr:to>
      <xdr:col>5</xdr:col>
      <xdr:colOff>0</xdr:colOff>
      <xdr:row>7</xdr:row>
      <xdr:rowOff>32472</xdr:rowOff>
    </xdr:to>
    <xdr:cxnSp macro="">
      <xdr:nvCxnSpPr>
        <xdr:cNvPr id="68" name="line02">
          <a:extLst>
            <a:ext uri="{FF2B5EF4-FFF2-40B4-BE49-F238E27FC236}">
              <a16:creationId xmlns:a16="http://schemas.microsoft.com/office/drawing/2014/main" id="{51BD61D6-F989-4C36-AF86-0B85337774AC}"/>
            </a:ext>
          </a:extLst>
        </xdr:cNvPr>
        <xdr:cNvCxnSpPr/>
      </xdr:nvCxnSpPr>
      <xdr:spPr>
        <a:xfrm flipV="1">
          <a:off x="3429000" y="1277216"/>
          <a:ext cx="0" cy="42213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263345</xdr:colOff>
      <xdr:row>3</xdr:row>
      <xdr:rowOff>0</xdr:rowOff>
    </xdr:from>
    <xdr:to>
      <xdr:col>2</xdr:col>
      <xdr:colOff>263345</xdr:colOff>
      <xdr:row>5</xdr:row>
      <xdr:rowOff>86591</xdr:rowOff>
    </xdr:to>
    <xdr:cxnSp macro="">
      <xdr:nvCxnSpPr>
        <xdr:cNvPr id="69" name="line02">
          <a:extLst>
            <a:ext uri="{FF2B5EF4-FFF2-40B4-BE49-F238E27FC236}">
              <a16:creationId xmlns:a16="http://schemas.microsoft.com/office/drawing/2014/main" id="{366BA755-9F3E-4C0E-BD60-92F6776A009A}"/>
            </a:ext>
          </a:extLst>
        </xdr:cNvPr>
        <xdr:cNvCxnSpPr/>
      </xdr:nvCxnSpPr>
      <xdr:spPr>
        <a:xfrm flipV="1">
          <a:off x="1634945" y="714375"/>
          <a:ext cx="0" cy="56284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632871</xdr:colOff>
      <xdr:row>3</xdr:row>
      <xdr:rowOff>0</xdr:rowOff>
    </xdr:from>
    <xdr:to>
      <xdr:col>3</xdr:col>
      <xdr:colOff>632871</xdr:colOff>
      <xdr:row>5</xdr:row>
      <xdr:rowOff>86591</xdr:rowOff>
    </xdr:to>
    <xdr:cxnSp macro="">
      <xdr:nvCxnSpPr>
        <xdr:cNvPr id="70" name="line02">
          <a:extLst>
            <a:ext uri="{FF2B5EF4-FFF2-40B4-BE49-F238E27FC236}">
              <a16:creationId xmlns:a16="http://schemas.microsoft.com/office/drawing/2014/main" id="{10B0F895-4B7D-44C8-A807-08B184545F98}"/>
            </a:ext>
          </a:extLst>
        </xdr:cNvPr>
        <xdr:cNvCxnSpPr/>
      </xdr:nvCxnSpPr>
      <xdr:spPr>
        <a:xfrm flipV="1">
          <a:off x="2690271" y="714375"/>
          <a:ext cx="0" cy="56284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263345</xdr:colOff>
      <xdr:row>14</xdr:row>
      <xdr:rowOff>159652</xdr:rowOff>
    </xdr:from>
    <xdr:to>
      <xdr:col>3</xdr:col>
      <xdr:colOff>632871</xdr:colOff>
      <xdr:row>14</xdr:row>
      <xdr:rowOff>159652</xdr:rowOff>
    </xdr:to>
    <xdr:cxnSp macro="">
      <xdr:nvCxnSpPr>
        <xdr:cNvPr id="71" name="line02">
          <a:extLst>
            <a:ext uri="{FF2B5EF4-FFF2-40B4-BE49-F238E27FC236}">
              <a16:creationId xmlns:a16="http://schemas.microsoft.com/office/drawing/2014/main" id="{FAD95870-0A96-4E97-8AA4-8F84DE17EBC6}"/>
            </a:ext>
          </a:extLst>
        </xdr:cNvPr>
        <xdr:cNvCxnSpPr/>
      </xdr:nvCxnSpPr>
      <xdr:spPr>
        <a:xfrm>
          <a:off x="1634945" y="3493402"/>
          <a:ext cx="1055326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263345</xdr:colOff>
      <xdr:row>10</xdr:row>
      <xdr:rowOff>56825</xdr:rowOff>
    </xdr:from>
    <xdr:to>
      <xdr:col>3</xdr:col>
      <xdr:colOff>632871</xdr:colOff>
      <xdr:row>10</xdr:row>
      <xdr:rowOff>56825</xdr:rowOff>
    </xdr:to>
    <xdr:cxnSp macro="">
      <xdr:nvCxnSpPr>
        <xdr:cNvPr id="72" name="line02">
          <a:extLst>
            <a:ext uri="{FF2B5EF4-FFF2-40B4-BE49-F238E27FC236}">
              <a16:creationId xmlns:a16="http://schemas.microsoft.com/office/drawing/2014/main" id="{1CA73E11-0A31-455E-969B-EA02FC063125}"/>
            </a:ext>
          </a:extLst>
        </xdr:cNvPr>
        <xdr:cNvCxnSpPr/>
      </xdr:nvCxnSpPr>
      <xdr:spPr>
        <a:xfrm>
          <a:off x="1634945" y="2438075"/>
          <a:ext cx="1055326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263345</xdr:colOff>
      <xdr:row>10</xdr:row>
      <xdr:rowOff>56825</xdr:rowOff>
    </xdr:from>
    <xdr:to>
      <xdr:col>2</xdr:col>
      <xdr:colOff>263345</xdr:colOff>
      <xdr:row>14</xdr:row>
      <xdr:rowOff>159652</xdr:rowOff>
    </xdr:to>
    <xdr:cxnSp macro="">
      <xdr:nvCxnSpPr>
        <xdr:cNvPr id="73" name="line02">
          <a:extLst>
            <a:ext uri="{FF2B5EF4-FFF2-40B4-BE49-F238E27FC236}">
              <a16:creationId xmlns:a16="http://schemas.microsoft.com/office/drawing/2014/main" id="{3D1E97A0-A6BD-442D-948E-6D03AEFFCFE0}"/>
            </a:ext>
          </a:extLst>
        </xdr:cNvPr>
        <xdr:cNvCxnSpPr/>
      </xdr:nvCxnSpPr>
      <xdr:spPr>
        <a:xfrm flipV="1">
          <a:off x="1634945" y="2438075"/>
          <a:ext cx="0" cy="1055327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632871</xdr:colOff>
      <xdr:row>10</xdr:row>
      <xdr:rowOff>56825</xdr:rowOff>
    </xdr:from>
    <xdr:to>
      <xdr:col>3</xdr:col>
      <xdr:colOff>632871</xdr:colOff>
      <xdr:row>14</xdr:row>
      <xdr:rowOff>159652</xdr:rowOff>
    </xdr:to>
    <xdr:cxnSp macro="">
      <xdr:nvCxnSpPr>
        <xdr:cNvPr id="74" name="line02">
          <a:extLst>
            <a:ext uri="{FF2B5EF4-FFF2-40B4-BE49-F238E27FC236}">
              <a16:creationId xmlns:a16="http://schemas.microsoft.com/office/drawing/2014/main" id="{17B17CE3-D5DF-454E-9188-C4908C92B876}"/>
            </a:ext>
          </a:extLst>
        </xdr:cNvPr>
        <xdr:cNvCxnSpPr/>
      </xdr:nvCxnSpPr>
      <xdr:spPr>
        <a:xfrm flipV="1">
          <a:off x="2690271" y="2438075"/>
          <a:ext cx="0" cy="1055327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635000</xdr:colOff>
      <xdr:row>3</xdr:row>
      <xdr:rowOff>0</xdr:rowOff>
    </xdr:from>
    <xdr:to>
      <xdr:col>5</xdr:col>
      <xdr:colOff>635000</xdr:colOff>
      <xdr:row>7</xdr:row>
      <xdr:rowOff>32472</xdr:rowOff>
    </xdr:to>
    <xdr:cxnSp macro="">
      <xdr:nvCxnSpPr>
        <xdr:cNvPr id="75" name="line02">
          <a:extLst>
            <a:ext uri="{FF2B5EF4-FFF2-40B4-BE49-F238E27FC236}">
              <a16:creationId xmlns:a16="http://schemas.microsoft.com/office/drawing/2014/main" id="{A78774D3-3598-4C14-8051-4646E8FEB9CF}"/>
            </a:ext>
          </a:extLst>
        </xdr:cNvPr>
        <xdr:cNvCxnSpPr/>
      </xdr:nvCxnSpPr>
      <xdr:spPr>
        <a:xfrm flipV="1">
          <a:off x="4064000" y="714375"/>
          <a:ext cx="0" cy="984972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86591</xdr:rowOff>
    </xdr:from>
    <xdr:to>
      <xdr:col>5</xdr:col>
      <xdr:colOff>317500</xdr:colOff>
      <xdr:row>7</xdr:row>
      <xdr:rowOff>32472</xdr:rowOff>
    </xdr:to>
    <xdr:cxnSp macro="">
      <xdr:nvCxnSpPr>
        <xdr:cNvPr id="76" name="line02">
          <a:extLst>
            <a:ext uri="{FF2B5EF4-FFF2-40B4-BE49-F238E27FC236}">
              <a16:creationId xmlns:a16="http://schemas.microsoft.com/office/drawing/2014/main" id="{34F07F93-2248-4153-9679-F8775DD57343}"/>
            </a:ext>
          </a:extLst>
        </xdr:cNvPr>
        <xdr:cNvCxnSpPr/>
      </xdr:nvCxnSpPr>
      <xdr:spPr>
        <a:xfrm flipV="1">
          <a:off x="3746500" y="1277216"/>
          <a:ext cx="0" cy="42213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32472</xdr:rowOff>
    </xdr:from>
    <xdr:to>
      <xdr:col>6</xdr:col>
      <xdr:colOff>12700</xdr:colOff>
      <xdr:row>7</xdr:row>
      <xdr:rowOff>32472</xdr:rowOff>
    </xdr:to>
    <xdr:cxnSp macro="">
      <xdr:nvCxnSpPr>
        <xdr:cNvPr id="77" name="line02">
          <a:extLst>
            <a:ext uri="{FF2B5EF4-FFF2-40B4-BE49-F238E27FC236}">
              <a16:creationId xmlns:a16="http://schemas.microsoft.com/office/drawing/2014/main" id="{7081F97D-1BFE-47C4-B79A-87F68C5A22C5}"/>
            </a:ext>
          </a:extLst>
        </xdr:cNvPr>
        <xdr:cNvCxnSpPr/>
      </xdr:nvCxnSpPr>
      <xdr:spPr>
        <a:xfrm>
          <a:off x="3492500" y="1699347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86591</xdr:rowOff>
    </xdr:from>
    <xdr:to>
      <xdr:col>5</xdr:col>
      <xdr:colOff>355600</xdr:colOff>
      <xdr:row>5</xdr:row>
      <xdr:rowOff>86591</xdr:rowOff>
    </xdr:to>
    <xdr:cxnSp macro="">
      <xdr:nvCxnSpPr>
        <xdr:cNvPr id="78" name="line02">
          <a:extLst>
            <a:ext uri="{FF2B5EF4-FFF2-40B4-BE49-F238E27FC236}">
              <a16:creationId xmlns:a16="http://schemas.microsoft.com/office/drawing/2014/main" id="{1C1AA6E5-D677-4BEA-B56B-D82DAE73333B}"/>
            </a:ext>
          </a:extLst>
        </xdr:cNvPr>
        <xdr:cNvCxnSpPr/>
      </xdr:nvCxnSpPr>
      <xdr:spPr>
        <a:xfrm>
          <a:off x="3492500" y="1277216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17</xdr:row>
      <xdr:rowOff>142875</xdr:rowOff>
    </xdr:from>
    <xdr:to>
      <xdr:col>5</xdr:col>
      <xdr:colOff>0</xdr:colOff>
      <xdr:row>17</xdr:row>
      <xdr:rowOff>142875</xdr:rowOff>
    </xdr:to>
    <xdr:cxnSp macro="">
      <xdr:nvCxnSpPr>
        <xdr:cNvPr id="79" name="line02">
          <a:extLst>
            <a:ext uri="{FF2B5EF4-FFF2-40B4-BE49-F238E27FC236}">
              <a16:creationId xmlns:a16="http://schemas.microsoft.com/office/drawing/2014/main" id="{D0B65858-7C70-4FDB-B11A-94F4D374474B}"/>
            </a:ext>
          </a:extLst>
        </xdr:cNvPr>
        <xdr:cNvCxnSpPr/>
      </xdr:nvCxnSpPr>
      <xdr:spPr>
        <a:xfrm>
          <a:off x="896216" y="4191000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80" name="line02">
          <a:extLst>
            <a:ext uri="{FF2B5EF4-FFF2-40B4-BE49-F238E27FC236}">
              <a16:creationId xmlns:a16="http://schemas.microsoft.com/office/drawing/2014/main" id="{DE5058A8-4FA2-4F2A-9FFB-7F01FE4DBB24}"/>
            </a:ext>
          </a:extLst>
        </xdr:cNvPr>
        <xdr:cNvCxnSpPr/>
      </xdr:nvCxnSpPr>
      <xdr:spPr>
        <a:xfrm>
          <a:off x="896216" y="4000500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16</xdr:row>
      <xdr:rowOff>38100</xdr:rowOff>
    </xdr:from>
    <xdr:to>
      <xdr:col>1</xdr:col>
      <xdr:colOff>210416</xdr:colOff>
      <xdr:row>17</xdr:row>
      <xdr:rowOff>142875</xdr:rowOff>
    </xdr:to>
    <xdr:cxnSp macro="">
      <xdr:nvCxnSpPr>
        <xdr:cNvPr id="81" name="line02">
          <a:extLst>
            <a:ext uri="{FF2B5EF4-FFF2-40B4-BE49-F238E27FC236}">
              <a16:creationId xmlns:a16="http://schemas.microsoft.com/office/drawing/2014/main" id="{5B05246F-05F1-4393-AFDD-86DAD9B3DBD2}"/>
            </a:ext>
          </a:extLst>
        </xdr:cNvPr>
        <xdr:cNvCxnSpPr/>
      </xdr:nvCxnSpPr>
      <xdr:spPr>
        <a:xfrm flipV="1">
          <a:off x="896216" y="38481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142875</xdr:rowOff>
    </xdr:to>
    <xdr:cxnSp macro="">
      <xdr:nvCxnSpPr>
        <xdr:cNvPr id="82" name="line02">
          <a:extLst>
            <a:ext uri="{FF2B5EF4-FFF2-40B4-BE49-F238E27FC236}">
              <a16:creationId xmlns:a16="http://schemas.microsoft.com/office/drawing/2014/main" id="{25CA3AA0-1EF1-41B9-9E12-A26C4A5F84F6}"/>
            </a:ext>
          </a:extLst>
        </xdr:cNvPr>
        <xdr:cNvCxnSpPr/>
      </xdr:nvCxnSpPr>
      <xdr:spPr>
        <a:xfrm flipV="1">
          <a:off x="3429000" y="38481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635000</xdr:colOff>
      <xdr:row>8</xdr:row>
      <xdr:rowOff>216477</xdr:rowOff>
    </xdr:from>
    <xdr:to>
      <xdr:col>5</xdr:col>
      <xdr:colOff>635000</xdr:colOff>
      <xdr:row>16</xdr:row>
      <xdr:rowOff>0</xdr:rowOff>
    </xdr:to>
    <xdr:cxnSp macro="">
      <xdr:nvCxnSpPr>
        <xdr:cNvPr id="83" name="line02">
          <a:extLst>
            <a:ext uri="{FF2B5EF4-FFF2-40B4-BE49-F238E27FC236}">
              <a16:creationId xmlns:a16="http://schemas.microsoft.com/office/drawing/2014/main" id="{B4D7AB61-AB7B-4E18-9FA3-A897E2E8DDAC}"/>
            </a:ext>
          </a:extLst>
        </xdr:cNvPr>
        <xdr:cNvCxnSpPr/>
      </xdr:nvCxnSpPr>
      <xdr:spPr>
        <a:xfrm flipV="1">
          <a:off x="4064000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216477</xdr:rowOff>
    </xdr:from>
    <xdr:to>
      <xdr:col>5</xdr:col>
      <xdr:colOff>317500</xdr:colOff>
      <xdr:row>16</xdr:row>
      <xdr:rowOff>0</xdr:rowOff>
    </xdr:to>
    <xdr:cxnSp macro="">
      <xdr:nvCxnSpPr>
        <xdr:cNvPr id="84" name="line02">
          <a:extLst>
            <a:ext uri="{FF2B5EF4-FFF2-40B4-BE49-F238E27FC236}">
              <a16:creationId xmlns:a16="http://schemas.microsoft.com/office/drawing/2014/main" id="{7E18FE57-82F7-481F-902F-ADD2B790B0B1}"/>
            </a:ext>
          </a:extLst>
        </xdr:cNvPr>
        <xdr:cNvCxnSpPr/>
      </xdr:nvCxnSpPr>
      <xdr:spPr>
        <a:xfrm flipV="1">
          <a:off x="3746500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5</xdr:col>
      <xdr:colOff>660400</xdr:colOff>
      <xdr:row>16</xdr:row>
      <xdr:rowOff>0</xdr:rowOff>
    </xdr:to>
    <xdr:cxnSp macro="">
      <xdr:nvCxnSpPr>
        <xdr:cNvPr id="85" name="line02">
          <a:extLst>
            <a:ext uri="{FF2B5EF4-FFF2-40B4-BE49-F238E27FC236}">
              <a16:creationId xmlns:a16="http://schemas.microsoft.com/office/drawing/2014/main" id="{3488FE44-2C97-40CC-B5DF-C77B7C909231}"/>
            </a:ext>
          </a:extLst>
        </xdr:cNvPr>
        <xdr:cNvCxnSpPr/>
      </xdr:nvCxnSpPr>
      <xdr:spPr>
        <a:xfrm>
          <a:off x="3492500" y="38100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216477</xdr:rowOff>
    </xdr:from>
    <xdr:to>
      <xdr:col>5</xdr:col>
      <xdr:colOff>660400</xdr:colOff>
      <xdr:row>8</xdr:row>
      <xdr:rowOff>216477</xdr:rowOff>
    </xdr:to>
    <xdr:cxnSp macro="">
      <xdr:nvCxnSpPr>
        <xdr:cNvPr id="86" name="line02">
          <a:extLst>
            <a:ext uri="{FF2B5EF4-FFF2-40B4-BE49-F238E27FC236}">
              <a16:creationId xmlns:a16="http://schemas.microsoft.com/office/drawing/2014/main" id="{6F75B051-4668-4956-BBBB-204E4E9A2F76}"/>
            </a:ext>
          </a:extLst>
        </xdr:cNvPr>
        <xdr:cNvCxnSpPr/>
      </xdr:nvCxnSpPr>
      <xdr:spPr>
        <a:xfrm>
          <a:off x="3492500" y="2121477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5</xdr:col>
      <xdr:colOff>673100</xdr:colOff>
      <xdr:row>5</xdr:row>
      <xdr:rowOff>158750</xdr:rowOff>
    </xdr:to>
    <xdr:sp macro="" textlink="">
      <xdr:nvSpPr>
        <xdr:cNvPr id="87" name="textboxDf">
          <a:extLst>
            <a:ext uri="{FF2B5EF4-FFF2-40B4-BE49-F238E27FC236}">
              <a16:creationId xmlns:a16="http://schemas.microsoft.com/office/drawing/2014/main" id="{7FE37A02-FDAF-460A-9A7E-456F1AF90123}"/>
            </a:ext>
          </a:extLst>
        </xdr:cNvPr>
        <xdr:cNvSpPr txBox="1"/>
      </xdr:nvSpPr>
      <xdr:spPr>
        <a:xfrm rot="16200000">
          <a:off x="3657600" y="9048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4</xdr:row>
      <xdr:rowOff>48347</xdr:rowOff>
    </xdr:from>
    <xdr:to>
      <xdr:col>5</xdr:col>
      <xdr:colOff>381000</xdr:colOff>
      <xdr:row>6</xdr:row>
      <xdr:rowOff>207097</xdr:rowOff>
    </xdr:to>
    <xdr:sp macro="" textlink="">
      <xdr:nvSpPr>
        <xdr:cNvPr id="88" name="textboxD">
          <a:extLst>
            <a:ext uri="{FF2B5EF4-FFF2-40B4-BE49-F238E27FC236}">
              <a16:creationId xmlns:a16="http://schemas.microsoft.com/office/drawing/2014/main" id="{D597A88B-25DA-4C50-B00B-F81F5370007B}"/>
            </a:ext>
          </a:extLst>
        </xdr:cNvPr>
        <xdr:cNvSpPr txBox="1"/>
      </xdr:nvSpPr>
      <xdr:spPr>
        <a:xfrm rot="16200000">
          <a:off x="3365500" y="1191347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225136</xdr:rowOff>
    </xdr:from>
    <xdr:to>
      <xdr:col>6</xdr:col>
      <xdr:colOff>12700</xdr:colOff>
      <xdr:row>13</xdr:row>
      <xdr:rowOff>145761</xdr:rowOff>
    </xdr:to>
    <xdr:sp macro="" textlink="">
      <xdr:nvSpPr>
        <xdr:cNvPr id="89" name="textboxB">
          <a:extLst>
            <a:ext uri="{FF2B5EF4-FFF2-40B4-BE49-F238E27FC236}">
              <a16:creationId xmlns:a16="http://schemas.microsoft.com/office/drawing/2014/main" id="{FE1FB1F4-BF3C-4092-A8A7-0CE69C73C857}"/>
            </a:ext>
          </a:extLst>
        </xdr:cNvPr>
        <xdr:cNvSpPr txBox="1"/>
      </xdr:nvSpPr>
      <xdr:spPr>
        <a:xfrm rot="16200000">
          <a:off x="3683000" y="279688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194830</xdr:rowOff>
    </xdr:from>
    <xdr:to>
      <xdr:col>5</xdr:col>
      <xdr:colOff>368300</xdr:colOff>
      <xdr:row>11</xdr:row>
      <xdr:rowOff>115455</xdr:rowOff>
    </xdr:to>
    <xdr:sp macro="" textlink="">
      <xdr:nvSpPr>
        <xdr:cNvPr id="90" name="textboxl2">
          <a:extLst>
            <a:ext uri="{FF2B5EF4-FFF2-40B4-BE49-F238E27FC236}">
              <a16:creationId xmlns:a16="http://schemas.microsoft.com/office/drawing/2014/main" id="{F16176EB-0556-4134-AD20-68BE98AEFD75}"/>
            </a:ext>
          </a:extLst>
        </xdr:cNvPr>
        <xdr:cNvSpPr txBox="1"/>
      </xdr:nvSpPr>
      <xdr:spPr>
        <a:xfrm rot="16200000">
          <a:off x="3352800" y="229033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219364</xdr:rowOff>
    </xdr:from>
    <xdr:to>
      <xdr:col>5</xdr:col>
      <xdr:colOff>368300</xdr:colOff>
      <xdr:row>15</xdr:row>
      <xdr:rowOff>28864</xdr:rowOff>
    </xdr:to>
    <xdr:sp macro="" textlink="">
      <xdr:nvSpPr>
        <xdr:cNvPr id="91" name="textboxex">
          <a:extLst>
            <a:ext uri="{FF2B5EF4-FFF2-40B4-BE49-F238E27FC236}">
              <a16:creationId xmlns:a16="http://schemas.microsoft.com/office/drawing/2014/main" id="{2D7D77CE-A82A-43F7-B8CC-991EEB402DB7}"/>
            </a:ext>
          </a:extLst>
        </xdr:cNvPr>
        <xdr:cNvSpPr txBox="1"/>
      </xdr:nvSpPr>
      <xdr:spPr>
        <a:xfrm rot="16200000">
          <a:off x="3289300" y="3092739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537730</xdr:colOff>
      <xdr:row>16</xdr:row>
      <xdr:rowOff>190500</xdr:rowOff>
    </xdr:from>
    <xdr:to>
      <xdr:col>3</xdr:col>
      <xdr:colOff>486930</xdr:colOff>
      <xdr:row>17</xdr:row>
      <xdr:rowOff>206375</xdr:rowOff>
    </xdr:to>
    <xdr:sp macro="" textlink="">
      <xdr:nvSpPr>
        <xdr:cNvPr id="92" name="textboxl">
          <a:extLst>
            <a:ext uri="{FF2B5EF4-FFF2-40B4-BE49-F238E27FC236}">
              <a16:creationId xmlns:a16="http://schemas.microsoft.com/office/drawing/2014/main" id="{DE48B65D-86CC-41DF-956B-BDD36207551C}"/>
            </a:ext>
          </a:extLst>
        </xdr:cNvPr>
        <xdr:cNvSpPr txBox="1"/>
      </xdr:nvSpPr>
      <xdr:spPr>
        <a:xfrm>
          <a:off x="1909330" y="40005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485126</xdr:colOff>
      <xdr:row>16</xdr:row>
      <xdr:rowOff>0</xdr:rowOff>
    </xdr:from>
    <xdr:to>
      <xdr:col>4</xdr:col>
      <xdr:colOff>434326</xdr:colOff>
      <xdr:row>17</xdr:row>
      <xdr:rowOff>15875</xdr:rowOff>
    </xdr:to>
    <xdr:sp macro="" textlink="">
      <xdr:nvSpPr>
        <xdr:cNvPr id="93" name="textboxl2">
          <a:extLst>
            <a:ext uri="{FF2B5EF4-FFF2-40B4-BE49-F238E27FC236}">
              <a16:creationId xmlns:a16="http://schemas.microsoft.com/office/drawing/2014/main" id="{79BF82E2-B9EF-43C2-8017-1A44635DDBB4}"/>
            </a:ext>
          </a:extLst>
        </xdr:cNvPr>
        <xdr:cNvSpPr txBox="1"/>
      </xdr:nvSpPr>
      <xdr:spPr>
        <a:xfrm>
          <a:off x="2542526" y="38100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156008</xdr:colOff>
      <xdr:row>16</xdr:row>
      <xdr:rowOff>0</xdr:rowOff>
    </xdr:from>
    <xdr:to>
      <xdr:col>3</xdr:col>
      <xdr:colOff>359208</xdr:colOff>
      <xdr:row>17</xdr:row>
      <xdr:rowOff>15875</xdr:rowOff>
    </xdr:to>
    <xdr:sp macro="" textlink="">
      <xdr:nvSpPr>
        <xdr:cNvPr id="94" name="textboxex">
          <a:extLst>
            <a:ext uri="{FF2B5EF4-FFF2-40B4-BE49-F238E27FC236}">
              <a16:creationId xmlns:a16="http://schemas.microsoft.com/office/drawing/2014/main" id="{0289EF1A-72C0-4D1B-86BA-45D66B2F3BAF}"/>
            </a:ext>
          </a:extLst>
        </xdr:cNvPr>
        <xdr:cNvSpPr txBox="1"/>
      </xdr:nvSpPr>
      <xdr:spPr>
        <a:xfrm>
          <a:off x="1527608" y="38100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7B00-A2B4-4B60-B73D-D3BF4FB1560A}">
  <sheetPr codeName="Sheet1"/>
  <dimension ref="A1:T52"/>
  <sheetViews>
    <sheetView workbookViewId="0">
      <selection activeCell="E40" sqref="E40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</v>
      </c>
      <c r="K4" s="18" t="s">
        <v>46</v>
      </c>
    </row>
    <row r="5" spans="1:20" x14ac:dyDescent="0.25">
      <c r="A5" s="9"/>
      <c r="B5" s="9"/>
      <c r="C5" s="13"/>
      <c r="D5" s="13"/>
      <c r="E5" s="13"/>
      <c r="F5" s="13"/>
      <c r="J5" s="16" t="s">
        <v>6</v>
      </c>
      <c r="K5" s="17">
        <v>2</v>
      </c>
    </row>
    <row r="6" spans="1:20" x14ac:dyDescent="0.25">
      <c r="A6" s="9"/>
      <c r="B6" s="9"/>
      <c r="C6" s="13"/>
      <c r="D6" s="13"/>
      <c r="E6" s="13"/>
      <c r="F6" s="14"/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IF(K4="砂質土",ROUND(SQRT(20*K5)+15,0),0)</f>
        <v>0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IF(K4="砂質土",0,6.25*K5)</f>
        <v>12.5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3150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5.0999999999999996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0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1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K16" s="3"/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18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53</v>
      </c>
      <c r="K18" s="36">
        <f>1+0.2*C22/C23</f>
        <v>1.1333333333333333</v>
      </c>
      <c r="N18" s="9"/>
    </row>
    <row r="19" spans="1:20" x14ac:dyDescent="0.25">
      <c r="A19" s="9"/>
      <c r="E19" s="13"/>
      <c r="F19" s="13"/>
      <c r="J19" s="16" t="s">
        <v>54</v>
      </c>
      <c r="K19" s="36">
        <f>0.5-0.2*C22/C23</f>
        <v>0.3666666666666667</v>
      </c>
      <c r="N19" s="9"/>
    </row>
    <row r="20" spans="1:20" x14ac:dyDescent="0.25">
      <c r="A20" s="9"/>
      <c r="B20" s="15"/>
      <c r="C20" s="4" t="str">
        <f>Glline(C22,C23,C21,C24,C25,C26,C27,C28)</f>
        <v>基礎寸法</v>
      </c>
      <c r="D20" s="16"/>
    </row>
    <row r="21" spans="1:20" x14ac:dyDescent="0.25">
      <c r="A21" s="9"/>
      <c r="B21" s="15" t="s">
        <v>1</v>
      </c>
      <c r="C21" s="37">
        <v>700</v>
      </c>
      <c r="D21" s="21" t="s">
        <v>2</v>
      </c>
      <c r="E21" s="4" t="s">
        <v>50</v>
      </c>
      <c r="F21" s="35">
        <v>16</v>
      </c>
      <c r="G21" s="5" t="s">
        <v>20</v>
      </c>
    </row>
    <row r="22" spans="1:20" x14ac:dyDescent="0.25">
      <c r="A22" s="9"/>
      <c r="B22" s="20" t="s">
        <v>4</v>
      </c>
      <c r="C22" s="37">
        <v>1200</v>
      </c>
      <c r="D22" s="21" t="s">
        <v>2</v>
      </c>
      <c r="E22" s="4" t="s">
        <v>51</v>
      </c>
      <c r="F22" s="35">
        <v>16</v>
      </c>
      <c r="G22" s="5" t="s">
        <v>20</v>
      </c>
      <c r="I22" s="3"/>
      <c r="J22" s="3"/>
      <c r="K22" s="3"/>
    </row>
    <row r="23" spans="1:20" x14ac:dyDescent="0.25">
      <c r="A23" s="7"/>
      <c r="B23" s="20" t="s">
        <v>47</v>
      </c>
      <c r="C23" s="37">
        <v>1800</v>
      </c>
      <c r="D23" s="21" t="s">
        <v>2</v>
      </c>
      <c r="I23" s="3"/>
      <c r="J23" s="3"/>
      <c r="L23" s="7"/>
      <c r="M23" s="12"/>
      <c r="N23" s="7"/>
    </row>
    <row r="24" spans="1:20" x14ac:dyDescent="0.25">
      <c r="A24" s="7"/>
      <c r="B24" s="15" t="s">
        <v>7</v>
      </c>
      <c r="C24" s="38">
        <v>300</v>
      </c>
      <c r="D24" s="21" t="s">
        <v>2</v>
      </c>
      <c r="E24" s="4" t="s">
        <v>19</v>
      </c>
      <c r="F24" s="34">
        <f>IF(K10&gt;=C22*2+C21,F22,F22-10)</f>
        <v>16</v>
      </c>
      <c r="G24" s="3" t="s">
        <v>21</v>
      </c>
      <c r="I24" s="3"/>
      <c r="J24" s="3"/>
      <c r="K24" s="3"/>
      <c r="L24" s="3"/>
      <c r="M24" s="2"/>
      <c r="N24" s="7"/>
    </row>
    <row r="25" spans="1:20" x14ac:dyDescent="0.25">
      <c r="A25" s="7"/>
      <c r="B25" s="15" t="s">
        <v>8</v>
      </c>
      <c r="C25" s="38">
        <v>750</v>
      </c>
      <c r="D25" s="21" t="s">
        <v>2</v>
      </c>
      <c r="E25" s="4" t="s">
        <v>22</v>
      </c>
      <c r="F25" s="34">
        <f>IF(K10&gt;=C21,F22,(F22*K10+(F22-10)*(C21-K10))/C21)</f>
        <v>16</v>
      </c>
      <c r="G25" s="3" t="s">
        <v>23</v>
      </c>
      <c r="L25" s="7"/>
      <c r="M25" s="12"/>
      <c r="N25" s="7"/>
    </row>
    <row r="26" spans="1:20" x14ac:dyDescent="0.25">
      <c r="A26" s="7"/>
      <c r="B26" s="15" t="s">
        <v>10</v>
      </c>
      <c r="C26" s="38">
        <v>750</v>
      </c>
      <c r="D26" s="21" t="s">
        <v>2</v>
      </c>
      <c r="N26" s="7"/>
    </row>
    <row r="27" spans="1:20" x14ac:dyDescent="0.25">
      <c r="A27" s="7"/>
      <c r="B27" s="15" t="s">
        <v>12</v>
      </c>
      <c r="C27" s="38">
        <v>0</v>
      </c>
      <c r="D27" s="21" t="s">
        <v>2</v>
      </c>
      <c r="N27" s="7"/>
    </row>
    <row r="28" spans="1:20" x14ac:dyDescent="0.25">
      <c r="A28" s="7"/>
      <c r="B28" s="15" t="s">
        <v>13</v>
      </c>
      <c r="C28" s="38">
        <v>0</v>
      </c>
      <c r="D28" s="21" t="s">
        <v>2</v>
      </c>
      <c r="N28" s="7"/>
    </row>
    <row r="29" spans="1:20" x14ac:dyDescent="0.25">
      <c r="A29" s="7"/>
      <c r="B29" s="7"/>
      <c r="J29" s="3"/>
      <c r="K29" s="3"/>
      <c r="N29" s="7"/>
    </row>
    <row r="30" spans="1:20" x14ac:dyDescent="0.25">
      <c r="A30" s="7"/>
      <c r="B30" s="7"/>
      <c r="L30" s="7"/>
      <c r="M30" s="2"/>
      <c r="N30" s="7"/>
    </row>
    <row r="31" spans="1:20" x14ac:dyDescent="0.25">
      <c r="A31" s="7"/>
      <c r="C31" s="7"/>
      <c r="E31" s="3" t="s">
        <v>24</v>
      </c>
      <c r="F31" s="7"/>
      <c r="G31" s="3"/>
      <c r="H31" s="3"/>
      <c r="I31" s="2"/>
      <c r="J31" s="2"/>
      <c r="K31" s="9"/>
      <c r="L31" s="7"/>
      <c r="M31" s="2"/>
      <c r="N31" s="7"/>
    </row>
    <row r="32" spans="1:20" x14ac:dyDescent="0.25">
      <c r="A32" s="7"/>
      <c r="C32" s="7"/>
      <c r="E32" s="22"/>
      <c r="F32" s="23" t="s">
        <v>25</v>
      </c>
      <c r="G32" s="23" t="s">
        <v>26</v>
      </c>
      <c r="H32" s="23" t="s">
        <v>27</v>
      </c>
      <c r="I32" s="24" t="s">
        <v>28</v>
      </c>
      <c r="J32" s="24" t="s">
        <v>29</v>
      </c>
      <c r="K32" s="24" t="s">
        <v>30</v>
      </c>
      <c r="L32" s="3"/>
      <c r="M32" s="7"/>
    </row>
    <row r="33" spans="1:14" x14ac:dyDescent="0.25">
      <c r="A33" s="7"/>
      <c r="C33" s="7"/>
      <c r="E33" s="25" t="s">
        <v>31</v>
      </c>
      <c r="F33" s="26">
        <v>1</v>
      </c>
      <c r="G33" s="26">
        <v>0</v>
      </c>
      <c r="H33" s="27">
        <f>G33/F33</f>
        <v>0</v>
      </c>
      <c r="I33" s="28">
        <f>DEGREES(ATAN(H33))</f>
        <v>0</v>
      </c>
      <c r="J33" s="29">
        <f>(1-(I33/90))^2</f>
        <v>1</v>
      </c>
      <c r="K33" s="29">
        <f>IF(K7=0,1,(1-(MIN(I33,K7)/K7))^2)</f>
        <v>1</v>
      </c>
      <c r="L33" s="30"/>
      <c r="M33" s="7"/>
    </row>
    <row r="34" spans="1:14" x14ac:dyDescent="0.25">
      <c r="A34" s="7"/>
      <c r="C34" s="7"/>
      <c r="E34" s="25" t="s">
        <v>32</v>
      </c>
      <c r="F34" s="26">
        <v>1</v>
      </c>
      <c r="G34" s="26">
        <v>0.16</v>
      </c>
      <c r="H34" s="27">
        <f>G34/F34</f>
        <v>0.16</v>
      </c>
      <c r="I34" s="28">
        <f>DEGREES(ATAN(H34))</f>
        <v>9.0902769208223226</v>
      </c>
      <c r="J34" s="29">
        <f>(1-(I34/90))^2</f>
        <v>0.80819546774681694</v>
      </c>
      <c r="K34" s="29">
        <f>IF(K7=0,1,(1-(MIN(I34,K7)/K7))^2)</f>
        <v>1</v>
      </c>
      <c r="L34" s="2"/>
      <c r="M34" s="7"/>
    </row>
    <row r="35" spans="1:14" x14ac:dyDescent="0.25">
      <c r="A35" s="7"/>
      <c r="N35" s="7"/>
    </row>
    <row r="36" spans="1:14" x14ac:dyDescent="0.25">
      <c r="A36" s="7"/>
      <c r="N36" s="7"/>
    </row>
    <row r="37" spans="1:14" x14ac:dyDescent="0.25">
      <c r="A37" s="7"/>
      <c r="C37" s="7" t="s">
        <v>33</v>
      </c>
      <c r="D37" s="7"/>
      <c r="E37" s="7"/>
      <c r="F37" s="7"/>
      <c r="G37" s="7"/>
      <c r="H37" s="7"/>
      <c r="I37" s="7"/>
      <c r="J37" s="7"/>
      <c r="K37" s="7"/>
      <c r="L37" s="7"/>
    </row>
    <row r="38" spans="1:14" x14ac:dyDescent="0.25">
      <c r="A38" s="7"/>
      <c r="C38" s="31" t="s">
        <v>34</v>
      </c>
      <c r="D38" s="5" t="s">
        <v>48</v>
      </c>
      <c r="E38" s="3"/>
      <c r="F38" s="3"/>
      <c r="G38" s="3"/>
      <c r="H38" s="3"/>
      <c r="I38" s="3"/>
      <c r="J38" s="3"/>
      <c r="K38" s="3"/>
    </row>
    <row r="39" spans="1:14" x14ac:dyDescent="0.25">
      <c r="A39" s="7"/>
      <c r="C39" s="31" t="s">
        <v>34</v>
      </c>
      <c r="D39" s="3" t="s">
        <v>35</v>
      </c>
      <c r="E39" s="32">
        <f>J33*K18*K8*K13</f>
        <v>72.249999999999986</v>
      </c>
      <c r="F39" s="2" t="s">
        <v>36</v>
      </c>
      <c r="G39" s="32">
        <f>K33*K19*F24*C22/1000*K14</f>
        <v>0</v>
      </c>
      <c r="H39" s="2" t="s">
        <v>36</v>
      </c>
      <c r="I39" s="32">
        <f>J33*F25*C21*K15/1000</f>
        <v>11.2</v>
      </c>
      <c r="J39" s="7" t="s">
        <v>37</v>
      </c>
      <c r="K39" s="33">
        <f>ROUND(1/3*(E39+G39+I39),1)</f>
        <v>27.8</v>
      </c>
      <c r="L39" s="30" t="s">
        <v>41</v>
      </c>
    </row>
    <row r="40" spans="1:14" x14ac:dyDescent="0.25">
      <c r="A40" s="7"/>
      <c r="M40" s="12"/>
      <c r="N40" s="7"/>
    </row>
    <row r="41" spans="1:14" x14ac:dyDescent="0.25">
      <c r="A41" s="7"/>
      <c r="C41" s="7" t="s">
        <v>38</v>
      </c>
      <c r="D41" s="7"/>
      <c r="E41" s="7"/>
      <c r="F41" s="7"/>
      <c r="G41" s="7"/>
      <c r="H41" s="7"/>
      <c r="I41" s="7"/>
      <c r="J41" s="7"/>
      <c r="K41" s="7"/>
      <c r="L41" s="7"/>
    </row>
    <row r="42" spans="1:14" x14ac:dyDescent="0.25">
      <c r="A42" s="7"/>
      <c r="C42" s="31" t="s">
        <v>39</v>
      </c>
      <c r="D42" s="5" t="s">
        <v>49</v>
      </c>
      <c r="E42" s="3"/>
      <c r="F42" s="3"/>
      <c r="G42" s="3"/>
      <c r="H42" s="3"/>
      <c r="I42" s="3"/>
      <c r="J42" s="3"/>
      <c r="K42" s="3"/>
      <c r="L42" s="3"/>
    </row>
    <row r="43" spans="1:14" x14ac:dyDescent="0.25">
      <c r="A43" s="7"/>
      <c r="C43" s="31" t="s">
        <v>39</v>
      </c>
      <c r="D43" s="3" t="s">
        <v>40</v>
      </c>
      <c r="E43" s="32">
        <f>J34*K18*K8*K13</f>
        <v>58.392122544707519</v>
      </c>
      <c r="F43" s="2" t="s">
        <v>36</v>
      </c>
      <c r="G43" s="32">
        <f>K34*K19*F24*C22/1000*K14</f>
        <v>0</v>
      </c>
      <c r="H43" s="2" t="s">
        <v>36</v>
      </c>
      <c r="I43" s="32">
        <f>J34*F25*C21/1000*K15</f>
        <v>9.0517892387643499</v>
      </c>
      <c r="J43" s="7" t="s">
        <v>37</v>
      </c>
      <c r="K43" s="33">
        <f>ROUND(2/3*(E43+G43+I43),1)</f>
        <v>45</v>
      </c>
      <c r="L43" s="30" t="s">
        <v>41</v>
      </c>
    </row>
    <row r="44" spans="1:14" x14ac:dyDescent="0.25">
      <c r="A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C45" s="3" t="s">
        <v>42</v>
      </c>
      <c r="M45" s="12"/>
      <c r="N45" s="7"/>
    </row>
    <row r="46" spans="1:14" x14ac:dyDescent="0.25">
      <c r="A46" s="7"/>
      <c r="E46" s="18">
        <v>50</v>
      </c>
      <c r="F46" s="5" t="s">
        <v>43</v>
      </c>
      <c r="G46" s="5"/>
      <c r="H46" s="7"/>
      <c r="I46" s="18">
        <v>100</v>
      </c>
      <c r="J46" s="5" t="s">
        <v>44</v>
      </c>
      <c r="K46" s="5"/>
      <c r="M46" s="30"/>
      <c r="N46" s="7"/>
    </row>
    <row r="47" spans="1:14" x14ac:dyDescent="0.25">
      <c r="A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12"/>
      <c r="N47" s="7"/>
    </row>
    <row r="48" spans="1:14" x14ac:dyDescent="0.25">
      <c r="A48" s="7"/>
      <c r="B48" s="7"/>
      <c r="D48" s="7"/>
      <c r="E48" s="7"/>
      <c r="F48" s="7"/>
      <c r="G48" s="7"/>
      <c r="H48" s="7"/>
      <c r="I48" s="7"/>
      <c r="J48" s="7"/>
      <c r="K48" s="7"/>
      <c r="L48" s="3"/>
      <c r="M48" s="12"/>
      <c r="N48" s="7"/>
    </row>
    <row r="49" spans="1:14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12"/>
      <c r="N49" s="7"/>
    </row>
    <row r="50" spans="1:14" x14ac:dyDescent="0.25">
      <c r="A50" s="7"/>
      <c r="B50" s="7"/>
      <c r="C50" s="7"/>
      <c r="D50" s="7"/>
      <c r="L50" s="3"/>
      <c r="M50" s="12"/>
      <c r="N50" s="7"/>
    </row>
    <row r="51" spans="1:14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12"/>
      <c r="N51" s="7"/>
    </row>
    <row r="52" spans="1:14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12"/>
      <c r="N52" s="7"/>
    </row>
  </sheetData>
  <phoneticPr fontId="2"/>
  <dataValidations count="1">
    <dataValidation type="list" allowBlank="1" showInputMessage="1" showErrorMessage="1" sqref="K4" xr:uid="{83F4DAC3-36F4-44BA-80EB-F5F02030D081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2222-6C35-4C00-A6DB-0B41E6A13830}">
  <sheetPr codeName="Sheet2"/>
  <dimension ref="A1:J12"/>
  <sheetViews>
    <sheetView tabSelected="1" workbookViewId="0">
      <selection activeCell="G4" sqref="G4:H8"/>
    </sheetView>
  </sheetViews>
  <sheetFormatPr defaultRowHeight="18.75" x14ac:dyDescent="0.4"/>
  <cols>
    <col min="5" max="5" width="9.375" bestFit="1" customWidth="1"/>
  </cols>
  <sheetData>
    <row r="1" spans="1:10" x14ac:dyDescent="0.4">
      <c r="C1">
        <v>3.4</v>
      </c>
      <c r="E1">
        <v>0.60000002384185791</v>
      </c>
      <c r="F1">
        <v>1</v>
      </c>
      <c r="G1">
        <v>1</v>
      </c>
      <c r="H1">
        <v>2</v>
      </c>
      <c r="I1">
        <v>2</v>
      </c>
    </row>
    <row r="2" spans="1:10" x14ac:dyDescent="0.4">
      <c r="A2" t="s">
        <v>69</v>
      </c>
      <c r="B2">
        <v>0.6</v>
      </c>
      <c r="C2">
        <v>3.4</v>
      </c>
    </row>
    <row r="3" spans="1:10" x14ac:dyDescent="0.25">
      <c r="A3" t="s">
        <v>63</v>
      </c>
      <c r="B3" s="16">
        <f>COUNT(B4:B9)</f>
        <v>4</v>
      </c>
      <c r="C3" s="40" t="s">
        <v>58</v>
      </c>
      <c r="E3" s="40" t="s">
        <v>59</v>
      </c>
    </row>
    <row r="4" spans="1:10" x14ac:dyDescent="0.25">
      <c r="B4" s="16">
        <v>1</v>
      </c>
      <c r="C4" s="40" t="s">
        <v>60</v>
      </c>
      <c r="D4">
        <v>16</v>
      </c>
      <c r="E4" s="40">
        <v>0.6</v>
      </c>
      <c r="F4">
        <f>E4</f>
        <v>0.6</v>
      </c>
      <c r="G4">
        <v>0.60000002384185791</v>
      </c>
    </row>
    <row r="5" spans="1:10" x14ac:dyDescent="0.25">
      <c r="B5" s="16">
        <v>2</v>
      </c>
      <c r="C5" s="40" t="s">
        <v>61</v>
      </c>
      <c r="D5">
        <v>18</v>
      </c>
      <c r="E5" s="40">
        <v>2.8</v>
      </c>
      <c r="F5">
        <f>E5+F4</f>
        <v>3.4</v>
      </c>
      <c r="G5">
        <v>3.4000000953674316</v>
      </c>
    </row>
    <row r="6" spans="1:10" x14ac:dyDescent="0.25">
      <c r="B6" s="16">
        <v>3</v>
      </c>
      <c r="C6" s="40" t="s">
        <v>61</v>
      </c>
      <c r="D6">
        <v>18</v>
      </c>
      <c r="E6" s="40">
        <v>8.8000000000000007</v>
      </c>
      <c r="F6">
        <f t="shared" ref="F6:F7" si="0">E6+F5</f>
        <v>12.200000000000001</v>
      </c>
      <c r="G6">
        <v>12.199999809265137</v>
      </c>
    </row>
    <row r="7" spans="1:10" x14ac:dyDescent="0.25">
      <c r="B7" s="16">
        <v>4</v>
      </c>
      <c r="C7" s="40" t="s">
        <v>62</v>
      </c>
      <c r="D7">
        <v>16</v>
      </c>
      <c r="E7" s="40">
        <v>2</v>
      </c>
      <c r="F7">
        <f t="shared" si="0"/>
        <v>14.200000000000001</v>
      </c>
      <c r="G7">
        <v>14.199999809265137</v>
      </c>
    </row>
    <row r="8" spans="1:10" x14ac:dyDescent="0.4">
      <c r="G8">
        <v>0</v>
      </c>
    </row>
    <row r="10" spans="1:10" x14ac:dyDescent="0.4">
      <c r="B10">
        <v>0</v>
      </c>
      <c r="J10">
        <v>4</v>
      </c>
    </row>
    <row r="11" spans="1:10" x14ac:dyDescent="0.4">
      <c r="A11">
        <v>1</v>
      </c>
      <c r="B11">
        <v>2</v>
      </c>
      <c r="C11">
        <v>3</v>
      </c>
      <c r="D11">
        <v>4</v>
      </c>
      <c r="E11">
        <v>5</v>
      </c>
      <c r="F11">
        <v>6</v>
      </c>
      <c r="G11">
        <v>7</v>
      </c>
      <c r="H11">
        <v>8</v>
      </c>
      <c r="I11">
        <v>9</v>
      </c>
    </row>
    <row r="12" spans="1:10" x14ac:dyDescent="0.4">
      <c r="A12">
        <v>0.60000002384185791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2D0-6A22-4546-9F14-6F3CBA647797}">
  <sheetPr codeName="Sheet3"/>
  <dimension ref="A1:T45"/>
  <sheetViews>
    <sheetView topLeftCell="A28" workbookViewId="0">
      <selection activeCell="M11" sqref="M11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 t="s">
        <v>86</v>
      </c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/>
    </row>
    <row r="5" spans="1:20" x14ac:dyDescent="0.25">
      <c r="A5" s="9"/>
      <c r="B5" s="9"/>
      <c r="C5" s="13"/>
      <c r="D5" s="13"/>
      <c r="E5" s="13"/>
      <c r="F5" s="13"/>
      <c r="J5" s="16" t="s">
        <v>55</v>
      </c>
      <c r="K5" s="18" t="s">
        <v>56</v>
      </c>
    </row>
    <row r="6" spans="1:20" x14ac:dyDescent="0.25">
      <c r="A6" s="9"/>
      <c r="B6" s="9"/>
      <c r="C6" s="13"/>
      <c r="D6" s="13"/>
      <c r="E6" s="13"/>
      <c r="F6" s="14"/>
      <c r="J6" s="16" t="s">
        <v>6</v>
      </c>
      <c r="K6" s="17">
        <v>1</v>
      </c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IF(K5="砂質土",ROUND(SQRT(20*K6)+15,0),0)</f>
        <v>19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IF(K5="砂質土",0,6.25*K6)</f>
        <v>0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11500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13.933559371766499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2.4025137318992194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5.7977091549474586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J16" s="16" t="s">
        <v>18</v>
      </c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53</v>
      </c>
      <c r="K17" s="36">
        <f>1+0.2*D23/D24</f>
        <v>1.1000000000000001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54</v>
      </c>
      <c r="K18" s="36">
        <f>0.5-0.2*D23/D24</f>
        <v>0.4</v>
      </c>
      <c r="N18" s="9"/>
    </row>
    <row r="19" spans="1:20" x14ac:dyDescent="0.25">
      <c r="A19" s="9"/>
      <c r="N19" s="9"/>
    </row>
    <row r="20" spans="1:20" x14ac:dyDescent="0.25">
      <c r="D20" s="4" t="str">
        <f>nisoujiban(D23,D24,D22,D21,K10)</f>
        <v>略図</v>
      </c>
      <c r="G20" s="3" t="s">
        <v>83</v>
      </c>
      <c r="O20" s="13"/>
      <c r="P20" s="13"/>
    </row>
    <row r="21" spans="1:20" x14ac:dyDescent="0.25">
      <c r="C21" s="15" t="s">
        <v>65</v>
      </c>
      <c r="D21" s="46">
        <v>11500</v>
      </c>
      <c r="E21" s="6" t="s">
        <v>87</v>
      </c>
      <c r="G21" s="4" t="s">
        <v>19</v>
      </c>
      <c r="H21" s="35">
        <v>16</v>
      </c>
      <c r="I21" s="5" t="s">
        <v>20</v>
      </c>
      <c r="J21" s="3" t="s">
        <v>84</v>
      </c>
      <c r="O21" s="16"/>
      <c r="P21" s="40"/>
      <c r="Q21" s="40"/>
      <c r="S21" s="40"/>
    </row>
    <row r="22" spans="1:20" x14ac:dyDescent="0.25">
      <c r="C22" s="15" t="s">
        <v>1</v>
      </c>
      <c r="D22" s="37">
        <v>9500</v>
      </c>
      <c r="E22" s="6" t="s">
        <v>87</v>
      </c>
      <c r="G22" s="4" t="s">
        <v>22</v>
      </c>
      <c r="H22" s="35">
        <v>16</v>
      </c>
      <c r="I22" s="5" t="s">
        <v>20</v>
      </c>
      <c r="J22" s="3" t="s">
        <v>85</v>
      </c>
      <c r="O22" s="16"/>
      <c r="P22" s="40"/>
      <c r="Q22" s="40"/>
      <c r="S22" s="40"/>
    </row>
    <row r="23" spans="1:20" x14ac:dyDescent="0.25">
      <c r="C23" s="20" t="s">
        <v>4</v>
      </c>
      <c r="D23" s="37">
        <v>1000</v>
      </c>
      <c r="E23" s="6" t="s">
        <v>87</v>
      </c>
      <c r="O23" s="16"/>
      <c r="P23" s="40"/>
      <c r="Q23" s="40"/>
      <c r="S23" s="40"/>
    </row>
    <row r="24" spans="1:20" x14ac:dyDescent="0.25">
      <c r="C24" s="20" t="s">
        <v>47</v>
      </c>
      <c r="D24" s="37">
        <v>2000</v>
      </c>
      <c r="E24" s="6" t="s">
        <v>87</v>
      </c>
      <c r="O24" s="16"/>
      <c r="P24" s="40"/>
      <c r="Q24" s="40"/>
      <c r="S24" s="40"/>
    </row>
    <row r="25" spans="1:20" x14ac:dyDescent="0.25">
      <c r="C25" s="15" t="s">
        <v>71</v>
      </c>
      <c r="D25" s="38">
        <f>D23+D21-D22</f>
        <v>3000</v>
      </c>
      <c r="E25" s="6" t="s">
        <v>87</v>
      </c>
      <c r="G25" s="21"/>
      <c r="O25" s="16"/>
      <c r="P25" s="40"/>
      <c r="Q25" s="40"/>
      <c r="S25" s="40"/>
    </row>
    <row r="26" spans="1:20" x14ac:dyDescent="0.25">
      <c r="C26" s="15" t="s">
        <v>72</v>
      </c>
      <c r="D26" s="38">
        <f>D24+D21-D22</f>
        <v>4000</v>
      </c>
      <c r="E26" s="6" t="s">
        <v>87</v>
      </c>
      <c r="G26" s="21"/>
      <c r="S26" s="3"/>
    </row>
    <row r="27" spans="1:20" x14ac:dyDescent="0.25">
      <c r="A27" s="7"/>
      <c r="B27" s="15"/>
      <c r="C27" s="15" t="s">
        <v>73</v>
      </c>
      <c r="D27" s="41">
        <f>D23*D24/(D25*D26)</f>
        <v>0.16666666666666666</v>
      </c>
      <c r="P27" s="15"/>
    </row>
    <row r="28" spans="1:20" x14ac:dyDescent="0.25">
      <c r="A28" s="7"/>
      <c r="B28" s="15"/>
      <c r="C28" s="43" t="s">
        <v>66</v>
      </c>
      <c r="D28" s="46">
        <v>180</v>
      </c>
      <c r="E28" s="6" t="s">
        <v>88</v>
      </c>
      <c r="N28" s="7"/>
    </row>
    <row r="29" spans="1:20" x14ac:dyDescent="0.25">
      <c r="A29" s="7"/>
      <c r="B29" s="7"/>
      <c r="C29" s="43" t="s">
        <v>67</v>
      </c>
      <c r="D29" s="47">
        <f>H22</f>
        <v>16</v>
      </c>
      <c r="E29" s="6" t="s">
        <v>89</v>
      </c>
      <c r="N29" s="7"/>
    </row>
    <row r="30" spans="1:20" x14ac:dyDescent="0.25">
      <c r="A30" s="7"/>
      <c r="B30" s="7"/>
      <c r="C30" s="43" t="s">
        <v>68</v>
      </c>
      <c r="D30" s="46">
        <v>0</v>
      </c>
      <c r="E30" s="6" t="s">
        <v>88</v>
      </c>
      <c r="N30" s="7"/>
    </row>
    <row r="31" spans="1:20" x14ac:dyDescent="0.25">
      <c r="A31" s="7"/>
      <c r="C31" s="43" t="s">
        <v>70</v>
      </c>
      <c r="D31" s="46">
        <f>D29*D21/1000</f>
        <v>184</v>
      </c>
      <c r="E31" s="6" t="s">
        <v>88</v>
      </c>
    </row>
    <row r="32" spans="1:20" x14ac:dyDescent="0.25">
      <c r="A32" s="7"/>
      <c r="C32" s="43" t="s">
        <v>74</v>
      </c>
      <c r="D32" s="45" t="s">
        <v>75</v>
      </c>
      <c r="J32" s="4"/>
      <c r="K32" s="34"/>
    </row>
    <row r="33" spans="1:14" x14ac:dyDescent="0.25">
      <c r="A33" s="7"/>
      <c r="C33" s="43" t="s">
        <v>74</v>
      </c>
      <c r="D33" s="48">
        <f>D27*(D28-D30)+D31</f>
        <v>214</v>
      </c>
      <c r="E33" s="6" t="s">
        <v>88</v>
      </c>
      <c r="J33" s="4"/>
      <c r="K33" s="34"/>
      <c r="M33" s="3"/>
    </row>
    <row r="34" spans="1:14" x14ac:dyDescent="0.25">
      <c r="A34" s="7"/>
      <c r="M34" s="12"/>
      <c r="N34" s="7"/>
    </row>
    <row r="35" spans="1:14" x14ac:dyDescent="0.25">
      <c r="A35" s="7"/>
      <c r="C35" s="7" t="s">
        <v>81</v>
      </c>
      <c r="D35" s="7"/>
      <c r="E35" s="7"/>
      <c r="F35" s="7"/>
      <c r="G35" s="7"/>
      <c r="H35" s="7"/>
      <c r="I35" s="7"/>
      <c r="J35" s="7"/>
      <c r="K35" s="7"/>
      <c r="L35" s="7"/>
    </row>
    <row r="36" spans="1:14" x14ac:dyDescent="0.25">
      <c r="A36" s="7"/>
      <c r="C36" s="31" t="s">
        <v>34</v>
      </c>
      <c r="D36" s="5" t="s">
        <v>57</v>
      </c>
      <c r="E36" s="3"/>
      <c r="F36" s="3"/>
      <c r="G36" s="3"/>
      <c r="H36" s="3"/>
      <c r="I36" s="3"/>
      <c r="J36" s="3"/>
      <c r="K36" s="3"/>
    </row>
    <row r="37" spans="1:14" x14ac:dyDescent="0.25">
      <c r="A37" s="7"/>
      <c r="C37" s="31" t="s">
        <v>34</v>
      </c>
      <c r="D37" s="3" t="s">
        <v>35</v>
      </c>
      <c r="E37" s="32">
        <f>K17*K8*K13</f>
        <v>0</v>
      </c>
      <c r="F37" s="2" t="s">
        <v>36</v>
      </c>
      <c r="G37" s="32">
        <f>K18*H21*D23/1000*K14</f>
        <v>15.376087884155005</v>
      </c>
      <c r="H37" s="2" t="s">
        <v>36</v>
      </c>
      <c r="I37" s="44">
        <f>H22*D21/1000*K15</f>
        <v>1066.7784845103324</v>
      </c>
      <c r="J37" s="7" t="s">
        <v>37</v>
      </c>
      <c r="K37" s="33">
        <f>ROUND(1/3*(E37+G37+I37),1)</f>
        <v>360.7</v>
      </c>
      <c r="L37" s="30" t="s">
        <v>41</v>
      </c>
      <c r="M37" s="12"/>
      <c r="N37" s="7"/>
    </row>
    <row r="38" spans="1:14" x14ac:dyDescent="0.25">
      <c r="A38" s="7"/>
      <c r="M38" s="12"/>
      <c r="N38" s="7"/>
    </row>
    <row r="39" spans="1:14" x14ac:dyDescent="0.25">
      <c r="A39" s="7"/>
      <c r="C39" s="7" t="s">
        <v>82</v>
      </c>
      <c r="D39" s="7"/>
      <c r="E39" s="7"/>
      <c r="F39" s="7"/>
      <c r="G39" s="7"/>
      <c r="H39" s="7"/>
      <c r="I39" s="7"/>
      <c r="J39" s="7"/>
      <c r="K39" s="7"/>
      <c r="L39" s="7"/>
      <c r="M39" s="30"/>
      <c r="N39" s="7"/>
    </row>
    <row r="40" spans="1:14" x14ac:dyDescent="0.25">
      <c r="A40" s="7"/>
      <c r="C40" s="31"/>
      <c r="D40" s="3"/>
      <c r="E40" s="32"/>
      <c r="F40" s="2"/>
      <c r="G40" s="32"/>
      <c r="H40" s="2"/>
      <c r="J40" s="42" t="s">
        <v>64</v>
      </c>
      <c r="K40" s="33">
        <f>K37*2</f>
        <v>721.4</v>
      </c>
      <c r="L40" s="30" t="s">
        <v>41</v>
      </c>
      <c r="M40" s="12"/>
      <c r="N40" s="7"/>
    </row>
    <row r="41" spans="1:14" x14ac:dyDescent="0.25">
      <c r="A41" s="7"/>
      <c r="B41" s="7"/>
      <c r="C41" s="7"/>
      <c r="D41" s="7"/>
      <c r="F41" s="7"/>
      <c r="G41" s="7"/>
      <c r="H41" s="7"/>
      <c r="I41" s="7"/>
      <c r="J41" s="7"/>
      <c r="K41" s="7"/>
      <c r="L41" s="7"/>
      <c r="M41" s="12"/>
      <c r="N41" s="7"/>
    </row>
    <row r="42" spans="1:14" x14ac:dyDescent="0.25">
      <c r="A42" s="7"/>
      <c r="B42" s="7"/>
      <c r="C42" s="6" t="s">
        <v>80</v>
      </c>
      <c r="F42" s="48"/>
      <c r="G42" s="48"/>
      <c r="H42" s="48"/>
      <c r="M42" s="12"/>
      <c r="N42" s="7"/>
    </row>
    <row r="43" spans="1:14" x14ac:dyDescent="0.25">
      <c r="A43" s="7"/>
      <c r="B43" s="7"/>
      <c r="D43" s="48" t="s">
        <v>76</v>
      </c>
      <c r="F43" s="6" t="s">
        <v>78</v>
      </c>
      <c r="G43" s="6" t="str">
        <f>_xlfn.TEXTJOIN(,,D33,"/",K37,"=",ROUND(D33/K37,3),IF(D33/K37&lt;1,"&lt;1・・・・OK","NG"))</f>
        <v>214/360.7=0.593&lt;1・・・・OK</v>
      </c>
      <c r="M43" s="12"/>
      <c r="N43" s="7"/>
    </row>
    <row r="44" spans="1:14" x14ac:dyDescent="0.25">
      <c r="A44" s="7"/>
      <c r="B44" s="7"/>
      <c r="C44" s="7"/>
      <c r="D44" s="7"/>
      <c r="G44" s="48"/>
      <c r="H44" s="49"/>
      <c r="I44" s="51"/>
      <c r="J44" s="7"/>
      <c r="K44" s="7"/>
      <c r="L44" s="7"/>
      <c r="M44" s="12"/>
      <c r="N44" s="7"/>
    </row>
    <row r="45" spans="1:14" x14ac:dyDescent="0.25">
      <c r="A45" s="7"/>
      <c r="B45" s="7"/>
      <c r="C45" s="7"/>
      <c r="D45" s="12" t="s">
        <v>77</v>
      </c>
      <c r="F45" s="4" t="s">
        <v>79</v>
      </c>
      <c r="G45" s="52" t="str">
        <f>_xlfn.TEXTJOIN(,,"2*",D33,"/",K40,"=",ROUND(2*D33/K40,3),IF(2*D33/K40&lt;1,"&lt;1・・・・OK","NG"))</f>
        <v>2*214/721.4=0.593&lt;1・・・・OK</v>
      </c>
      <c r="H45" s="50"/>
      <c r="I45" s="51"/>
      <c r="J45" s="7"/>
      <c r="K45" s="7"/>
      <c r="L45" s="7"/>
      <c r="M45" s="12"/>
      <c r="N45" s="7"/>
    </row>
  </sheetData>
  <phoneticPr fontId="2"/>
  <dataValidations disablePrompts="1" count="1">
    <dataValidation type="list" allowBlank="1" showInputMessage="1" showErrorMessage="1" sqref="K5" xr:uid="{AF262B2C-0759-4CAE-B909-979CF5408404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B7A3-44F1-439C-B964-7E09029D2BF8}">
  <sheetPr codeName="Sheet4"/>
  <dimension ref="A1"/>
  <sheetViews>
    <sheetView workbookViewId="0"/>
  </sheetViews>
  <sheetFormatPr defaultRowHeight="18.75" x14ac:dyDescent="0.4"/>
  <sheetData/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input</vt:lpstr>
      <vt:lpstr>Sheet1 (2)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Makoto Matsushita</cp:lastModifiedBy>
  <cp:lastPrinted>2020-11-12T11:43:56Z</cp:lastPrinted>
  <dcterms:created xsi:type="dcterms:W3CDTF">2020-07-08T04:03:42Z</dcterms:created>
  <dcterms:modified xsi:type="dcterms:W3CDTF">2020-11-12T12:22:43Z</dcterms:modified>
</cp:coreProperties>
</file>